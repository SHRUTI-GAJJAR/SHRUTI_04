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ec18b25c347ea2/Desktop/TOPS_TECHNOLOGY/ASSIGNMENT/STAT(2)/"/>
    </mc:Choice>
  </mc:AlternateContent>
  <xr:revisionPtr revIDLastSave="1100" documentId="8_{F01EFC15-8578-4F2F-9022-B0D77F816190}" xr6:coauthVersionLast="47" xr6:coauthVersionMax="47" xr10:uidLastSave="{B4B32CD8-C9A4-41DF-88FE-B1C3365D892B}"/>
  <bookViews>
    <workbookView xWindow="-108" yWindow="-108" windowWidth="23256" windowHeight="12456" tabRatio="742" activeTab="5" xr2:uid="{3B365069-AA9B-4A80-85C2-C919E380FD7F}"/>
  </bookViews>
  <sheets>
    <sheet name="Frequency Example 1 " sheetId="7" r:id="rId1"/>
    <sheet name="Frequency Example 3" sheetId="8" r:id="rId2"/>
    <sheet name="DESCRIPTIVE STATISTIC 1" sheetId="9" r:id="rId3"/>
    <sheet name="DESCRIPTIVE STATISTIC 2 " sheetId="10" r:id="rId4"/>
    <sheet name="CovMat_Example" sheetId="11" r:id="rId5"/>
    <sheet name="CovMat_Use" sheetId="12" r:id="rId6"/>
    <sheet name="CovMat_Example 1" sheetId="13" r:id="rId7"/>
    <sheet name="CovMat_Example 2" sheetId="14" r:id="rId8"/>
    <sheet name="CovMat_Example 3" sheetId="15" r:id="rId9"/>
    <sheet name="CovMat_FAQ" sheetId="16" r:id="rId10"/>
  </sheets>
  <externalReferences>
    <externalReference r:id="rId11"/>
  </externalReferences>
  <calcPr calcId="191029"/>
  <pivotCaches>
    <pivotCache cacheId="2" r:id="rId12"/>
    <pivotCache cacheId="3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16" l="1"/>
  <c r="H15" i="16"/>
  <c r="G15" i="16"/>
  <c r="B11" i="16"/>
  <c r="G11" i="16" s="1" a="1"/>
  <c r="I6" i="16"/>
  <c r="H5" i="16"/>
  <c r="G4" i="16"/>
  <c r="D14" i="15"/>
  <c r="C13" i="15"/>
  <c r="B12" i="15"/>
  <c r="H7" i="15"/>
  <c r="F4" i="15"/>
  <c r="I3" i="15" s="1"/>
  <c r="F3" i="15"/>
  <c r="H6" i="15" s="1"/>
  <c r="F2" i="15"/>
  <c r="G3" i="15" s="1"/>
  <c r="L5" i="14"/>
  <c r="K4" i="14"/>
  <c r="I6" i="13"/>
  <c r="H5" i="13"/>
  <c r="G4" i="13"/>
  <c r="I6" i="12"/>
  <c r="H5" i="12"/>
  <c r="G4" i="12"/>
  <c r="J7" i="11"/>
  <c r="I6" i="11"/>
  <c r="H5" i="11"/>
  <c r="G4" i="11"/>
  <c r="H11" i="16" l="1"/>
  <c r="I13" i="16"/>
  <c r="G11" i="16"/>
  <c r="H13" i="16"/>
  <c r="I12" i="16"/>
  <c r="H12" i="16"/>
  <c r="G12" i="16"/>
  <c r="G13" i="16"/>
  <c r="I11" i="16"/>
  <c r="G7" i="15"/>
  <c r="G4" i="15"/>
  <c r="H4" i="15"/>
  <c r="I4" i="15"/>
  <c r="I6" i="15"/>
  <c r="I7" i="15"/>
  <c r="I14" i="15"/>
  <c r="G5" i="15"/>
  <c r="I12" i="15" s="1"/>
  <c r="H3" i="15"/>
  <c r="I5" i="15"/>
  <c r="G6" i="15"/>
  <c r="H5" i="15"/>
  <c r="H13" i="15" l="1"/>
  <c r="H14" i="15"/>
  <c r="I13" i="15"/>
  <c r="G14" i="15"/>
  <c r="G12" i="15"/>
  <c r="H12" i="15"/>
  <c r="G13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tc={F3573415-F9B8-4148-8CF3-6D86846AEAA4}</author>
  </authors>
  <commentList>
    <comment ref="E15" authorId="0" shapeId="0" xr:uid="{F3573415-F9B8-4148-8CF3-6D86846AEAA4}">
      <text>
        <t>[Threaded comment]
Your version of Excel allows you to read this threaded comment; however, any edits to it will get removed if the file is opened in a newer version of Excel. Learn more: https://go.microsoft.com/fwlink/?linkid=870924
Comment:
    Make Pivot Table From Data Given in Sheet  Add Sum of Unit Sold &amp; Count of Unit Sold Column. Make Histogram.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tc={FAD06E97-45F3-4625-8FC4-68AAB1C5E0BC}</author>
  </authors>
  <commentList>
    <comment ref="D16" authorId="0" shapeId="0" xr:uid="{FAD06E97-45F3-4625-8FC4-68AAB1C5E0BC}">
      <text>
        <t>[Threaded comment]
Your version of Excel allows you to read this threaded comment; however, any edits to it will get removed if the file is opened in a newer version of Excel. Learn more: https://go.microsoft.com/fwlink/?linkid=870924
Comment:
    Make Pivot Table From Data Given in Sheet  Add Sum of Unit Sold &amp; Count of Unit Sold Column. Make Histogram.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tc={637FAA78-6280-4E34-A60D-F600537C58F6}</author>
  </authors>
  <commentList>
    <comment ref="G3" authorId="0" shapeId="0" xr:uid="{637FAA78-6280-4E34-A60D-F600537C58F6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Data tab &gt; Ribbon "Data Analysis" &gt; Analysis Tools &gt; Descriptive Statistic &gt; Select Range "Scores".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tc={38D49DB1-5629-4BB4-8578-F9A7A1E43B75}</author>
  </authors>
  <commentList>
    <comment ref="I18" authorId="0" shapeId="0" xr:uid="{38D49DB1-5629-4BB4-8578-F9A7A1E43B7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Apply Descriptive Statistic Formula In Column "Age, Height(Fts), Weight(Kg), Study Hrs, Exam Score.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tc={447AF94A-81FF-4E88-A874-9355DFE7D24C}</author>
  </authors>
  <commentList>
    <comment ref="B10" authorId="0" shapeId="0" xr:uid="{447AF94A-81FF-4E88-A874-9355DFE7D24C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Covariance Formula.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tc={EB91C037-FD88-42D2-BFFF-9EF8CCFA821F}</author>
  </authors>
  <commentList>
    <comment ref="A10" authorId="0" shapeId="0" xr:uid="{EB91C037-FD88-42D2-BFFF-9EF8CCFA821F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Covariance Formula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tc={B4839A6D-3953-4B50-AB9A-E1F5A3917A92}</author>
  </authors>
  <commentList>
    <comment ref="F8" authorId="0" shapeId="0" xr:uid="{B4839A6D-3953-4B50-AB9A-E1F5A3917A92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Covariance Formula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tc={8725F641-DFE6-42A6-BCC2-92821FE5E682}</author>
  </authors>
  <commentList>
    <comment ref="B7" authorId="0" shapeId="0" xr:uid="{8725F641-DFE6-42A6-BCC2-92821FE5E682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Covariance Formula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tc={342DD40B-E85A-466A-8DA5-9CB3A82EC45E}</author>
  </authors>
  <commentList>
    <comment ref="K2" authorId="0" shapeId="0" xr:uid="{342DD40B-E85A-466A-8DA5-9CB3A82EC45E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Covariance Formula</t>
      </text>
    </comment>
  </commentList>
</comments>
</file>

<file path=xl/sharedStrings.xml><?xml version="1.0" encoding="utf-8"?>
<sst xmlns="http://schemas.openxmlformats.org/spreadsheetml/2006/main" count="290" uniqueCount="139">
  <si>
    <t>Age</t>
  </si>
  <si>
    <t>Product Price</t>
  </si>
  <si>
    <t>Units Sold</t>
  </si>
  <si>
    <t>Sum of Units Sold</t>
  </si>
  <si>
    <t>Row Labels</t>
  </si>
  <si>
    <t>Grand Total</t>
  </si>
  <si>
    <t>15-24</t>
  </si>
  <si>
    <t>25-34</t>
  </si>
  <si>
    <t>35-44</t>
  </si>
  <si>
    <t>55-64</t>
  </si>
  <si>
    <t>65-74</t>
  </si>
  <si>
    <t>75-84</t>
  </si>
  <si>
    <t>95-104</t>
  </si>
  <si>
    <t>115-124</t>
  </si>
  <si>
    <t>125-134</t>
  </si>
  <si>
    <t>145-154</t>
  </si>
  <si>
    <t>Amt Spent</t>
  </si>
  <si>
    <t>Sum of Amt Spent</t>
  </si>
  <si>
    <t>15-19</t>
  </si>
  <si>
    <t>20-24</t>
  </si>
  <si>
    <t>25-29</t>
  </si>
  <si>
    <t>30-34</t>
  </si>
  <si>
    <t>35-39</t>
  </si>
  <si>
    <t>45-49</t>
  </si>
  <si>
    <t>50-54</t>
  </si>
  <si>
    <t>55-59</t>
  </si>
  <si>
    <t>60-64</t>
  </si>
  <si>
    <t>70-74</t>
  </si>
  <si>
    <t>Count of Units Sold2</t>
  </si>
  <si>
    <t>Count of Amt Spent2</t>
  </si>
  <si>
    <t>Student</t>
  </si>
  <si>
    <t>Scores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</si>
  <si>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</si>
  <si>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</si>
  <si>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</si>
  <si>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</si>
  <si>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</si>
  <si>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</si>
  <si>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</si>
  <si>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</si>
  <si>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</si>
  <si>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</si>
  <si>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</si>
  <si>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</si>
  <si>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</si>
  <si>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</si>
  <si>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</si>
  <si>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</si>
  <si>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</si>
  <si>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</si>
  <si>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</si>
  <si>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</si>
  <si>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</si>
  <si>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</si>
  <si>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</si>
  <si>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Name</t>
  </si>
  <si>
    <t>Gender</t>
  </si>
  <si>
    <t>Height (Fts)</t>
  </si>
  <si>
    <t>Weight (Kg)</t>
  </si>
  <si>
    <t>Study Hrs</t>
  </si>
  <si>
    <t>Exam Score</t>
  </si>
  <si>
    <t>Ram 1</t>
  </si>
  <si>
    <t>Male</t>
  </si>
  <si>
    <t>Ram 2</t>
  </si>
  <si>
    <t>Ram 3</t>
  </si>
  <si>
    <t>Raj 1</t>
  </si>
  <si>
    <t>Raj 2</t>
  </si>
  <si>
    <t>Raj 3</t>
  </si>
  <si>
    <t>Ramya 1</t>
  </si>
  <si>
    <t>Female</t>
  </si>
  <si>
    <t>Ramya 2</t>
  </si>
  <si>
    <t>Ramya 3</t>
  </si>
  <si>
    <t>Ramya 4</t>
  </si>
  <si>
    <t>Ramya 5</t>
  </si>
  <si>
    <t>Ajith 1</t>
  </si>
  <si>
    <t>Ajith 2</t>
  </si>
  <si>
    <t>Ajith 3</t>
  </si>
  <si>
    <t>Ajith 4</t>
  </si>
  <si>
    <t>Ajith 5</t>
  </si>
  <si>
    <t>Karan 1</t>
  </si>
  <si>
    <t>Karan 2</t>
  </si>
  <si>
    <t>Karan 3</t>
  </si>
  <si>
    <t>Karan 4</t>
  </si>
  <si>
    <t>Karan 5</t>
  </si>
  <si>
    <t>Karan 6</t>
  </si>
  <si>
    <t>Karan 7</t>
  </si>
  <si>
    <t>Karan 8</t>
  </si>
  <si>
    <t>Karan 9</t>
  </si>
  <si>
    <t>Per-day Stock Prices in $</t>
  </si>
  <si>
    <t>Apple</t>
  </si>
  <si>
    <t>Amazon</t>
  </si>
  <si>
    <t>Alphabet</t>
  </si>
  <si>
    <t>Microsoft</t>
  </si>
  <si>
    <t>Covariance Matrix</t>
  </si>
  <si>
    <t>Roll Number</t>
  </si>
  <si>
    <t>Subject Score Out Of 100</t>
  </si>
  <si>
    <t>History</t>
  </si>
  <si>
    <t>Geography</t>
  </si>
  <si>
    <t>Mathematics</t>
  </si>
  <si>
    <t>Athlete</t>
  </si>
  <si>
    <t>Age (years), Height (inches), Weight (lb)</t>
  </si>
  <si>
    <t>Height</t>
  </si>
  <si>
    <t>Weight</t>
  </si>
  <si>
    <t>R_11</t>
  </si>
  <si>
    <t>R_12</t>
  </si>
  <si>
    <t>R_13</t>
  </si>
  <si>
    <t>R_14</t>
  </si>
  <si>
    <t>R_15</t>
  </si>
  <si>
    <t>R_16</t>
  </si>
  <si>
    <t>R_17</t>
  </si>
  <si>
    <t>R_18</t>
  </si>
  <si>
    <t>R_19</t>
  </si>
  <si>
    <t>R_20</t>
  </si>
  <si>
    <t>Year</t>
  </si>
  <si>
    <t>Stock ABC Returns</t>
  </si>
  <si>
    <t>Stock LCD Returns</t>
  </si>
  <si>
    <t>Stock-wise Returns in %</t>
  </si>
  <si>
    <t>Variables</t>
  </si>
  <si>
    <t>Covariance Matrix Calculation (Manual)</t>
  </si>
  <si>
    <t>X</t>
  </si>
  <si>
    <t>Y</t>
  </si>
  <si>
    <t>Z</t>
  </si>
  <si>
    <t>X̅</t>
  </si>
  <si>
    <t>(X - X̅)</t>
  </si>
  <si>
    <t>(Y - Y̅)</t>
  </si>
  <si>
    <t>(Z - Z̅)</t>
  </si>
  <si>
    <t>Y̅</t>
  </si>
  <si>
    <t>Z̅</t>
  </si>
  <si>
    <t>n</t>
  </si>
  <si>
    <t>Covariance Matrix (Data Analysis ToolPak)</t>
  </si>
  <si>
    <t>Covariance Matrix (Manual)</t>
  </si>
  <si>
    <t>Date</t>
  </si>
  <si>
    <t>Expected Returns</t>
  </si>
  <si>
    <t>Firm A</t>
  </si>
  <si>
    <t>Firm B</t>
  </si>
  <si>
    <t>Firm C</t>
  </si>
  <si>
    <t>Variance-Covariance Matrix</t>
  </si>
  <si>
    <t>N</t>
  </si>
  <si>
    <t>N/(N-1)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</si>
</sst>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9" formatCode="&quot;$&quot;#,##0.00"/>
    <numFmt numFmtId="170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0CA0A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pivotButton="1" applyBorder="1"/>
    <xf numFmtId="0" fontId="0" fillId="0" borderId="14" xfId="0" applyBorder="1"/>
    <xf numFmtId="0" fontId="0" fillId="0" borderId="15" xfId="0" applyBorder="1"/>
    <xf numFmtId="0" fontId="0" fillId="0" borderId="10" xfId="0" applyBorder="1" applyAlignment="1">
      <alignment horizontal="center" vertical="center"/>
    </xf>
    <xf numFmtId="164" fontId="0" fillId="0" borderId="12" xfId="1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/>
    </xf>
    <xf numFmtId="49" fontId="3" fillId="2" borderId="13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1" xfId="0" applyNumberFormat="1" applyBorder="1"/>
    <xf numFmtId="0" fontId="0" fillId="0" borderId="17" xfId="0" pivotButton="1" applyBorder="1" applyAlignment="1"/>
    <xf numFmtId="0" fontId="0" fillId="0" borderId="18" xfId="0" applyBorder="1" applyAlignment="1"/>
    <xf numFmtId="0" fontId="0" fillId="0" borderId="19" xfId="0" applyBorder="1" applyAlignment="1"/>
    <xf numFmtId="0" fontId="0" fillId="0" borderId="3" xfId="0" applyNumberFormat="1" applyBorder="1"/>
    <xf numFmtId="0" fontId="0" fillId="0" borderId="5" xfId="0" applyNumberFormat="1" applyBorder="1"/>
    <xf numFmtId="0" fontId="0" fillId="0" borderId="6" xfId="0" applyNumberFormat="1" applyBorder="1"/>
    <xf numFmtId="49" fontId="3" fillId="2" borderId="17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0" fontId="0" fillId="0" borderId="16" xfId="0" applyBorder="1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43" fontId="0" fillId="0" borderId="1" xfId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9" fontId="8" fillId="0" borderId="1" xfId="0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0" fillId="0" borderId="21" xfId="0" applyBorder="1"/>
    <xf numFmtId="0" fontId="2" fillId="3" borderId="30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21" xfId="0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0" fillId="0" borderId="32" xfId="0" applyBorder="1"/>
    <xf numFmtId="14" fontId="0" fillId="0" borderId="1" xfId="0" applyNumberFormat="1" applyBorder="1" applyAlignment="1">
      <alignment horizontal="center"/>
    </xf>
    <xf numFmtId="170" fontId="8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5">
    <dxf>
      <alignment wrapText="0"/>
    </dxf>
    <dxf>
      <alignment wrapText="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[ASSAIGNMENT STAT^.^^.xlsx]Frequency Example 1 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50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'Frequency Example 1 '!$F$2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'Frequency Example 1 '!$E$3:$E$13</c:f>
              <c:strCache>
                <c:ptCount val="10"/>
                <c:pt idx="0">
                  <c:v>15-24</c:v>
                </c:pt>
                <c:pt idx="1">
                  <c:v>25-34</c:v>
                </c:pt>
                <c:pt idx="2">
                  <c:v>35-44</c:v>
                </c:pt>
                <c:pt idx="3">
                  <c:v>55-64</c:v>
                </c:pt>
                <c:pt idx="4">
                  <c:v>65-74</c:v>
                </c:pt>
                <c:pt idx="5">
                  <c:v>75-84</c:v>
                </c:pt>
                <c:pt idx="6">
                  <c:v>95-104</c:v>
                </c:pt>
                <c:pt idx="7">
                  <c:v>115-124</c:v>
                </c:pt>
                <c:pt idx="8">
                  <c:v>125-134</c:v>
                </c:pt>
                <c:pt idx="9">
                  <c:v>145-154</c:v>
                </c:pt>
              </c:strCache>
            </c:strRef>
          </c:cat>
          <c:val>
            <c:numRef>
              <c:f>'Frequency Example 1 '!$F$3:$F$13</c:f>
              <c:numCache>
                <c:formatCode>General</c:formatCode>
                <c:ptCount val="10"/>
                <c:pt idx="0">
                  <c:v>34692</c:v>
                </c:pt>
                <c:pt idx="1">
                  <c:v>42791</c:v>
                </c:pt>
                <c:pt idx="2">
                  <c:v>31130</c:v>
                </c:pt>
                <c:pt idx="3">
                  <c:v>10982</c:v>
                </c:pt>
                <c:pt idx="4">
                  <c:v>32699</c:v>
                </c:pt>
                <c:pt idx="5">
                  <c:v>21653</c:v>
                </c:pt>
                <c:pt idx="6">
                  <c:v>54163</c:v>
                </c:pt>
                <c:pt idx="7">
                  <c:v>43298</c:v>
                </c:pt>
                <c:pt idx="8">
                  <c:v>19728</c:v>
                </c:pt>
                <c:pt idx="9">
                  <c:v>21320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9-4335-AA1C-902774054F64}"/>
            </c:ext>
          </c:extLst>
        </c:ser>
        <c:ser>
          <c:idx val="1"/>
          <c:order val="1"/>
          <c:tx>
            <c:strRef>
              <c:f>'Frequency Example 1 '!$G$2</c:f>
              <c:strCache>
                <c:ptCount val="1"/>
                <c:pt idx="0">
                  <c:v>Count of Units Sold2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'Frequency Example 1 '!$E$3:$E$13</c:f>
              <c:strCache>
                <c:ptCount val="10"/>
                <c:pt idx="0">
                  <c:v>15-24</c:v>
                </c:pt>
                <c:pt idx="1">
                  <c:v>25-34</c:v>
                </c:pt>
                <c:pt idx="2">
                  <c:v>35-44</c:v>
                </c:pt>
                <c:pt idx="3">
                  <c:v>55-64</c:v>
                </c:pt>
                <c:pt idx="4">
                  <c:v>65-74</c:v>
                </c:pt>
                <c:pt idx="5">
                  <c:v>75-84</c:v>
                </c:pt>
                <c:pt idx="6">
                  <c:v>95-104</c:v>
                </c:pt>
                <c:pt idx="7">
                  <c:v>115-124</c:v>
                </c:pt>
                <c:pt idx="8">
                  <c:v>125-134</c:v>
                </c:pt>
                <c:pt idx="9">
                  <c:v>145-154</c:v>
                </c:pt>
              </c:strCache>
            </c:strRef>
          </c:cat>
          <c:val>
            <c:numRef>
              <c:f>'Frequency Example 1 '!$G$3:$G$13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69-4335-AA1C-902774054F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344247120"/>
        <c:axId val="344246160"/>
      </c:barChart>
      <c:catAx>
        <c:axId val="344247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246160"/>
        <c:crosses val="autoZero"/>
        <c:auto val="1"/>
        <c:lblAlgn val="ctr"/>
        <c:lblOffset val="100"/>
        <c:noMultiLvlLbl val="0"/>
      </c:catAx>
      <c:valAx>
        <c:axId val="34424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24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[ASSAIGNMENT STAT^.^^.xlsx]Frequency Example 3!PivotTable3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50000"/>
            </a:schemeClr>
          </a:solidFill>
          <a:ln>
            <a:solidFill>
              <a:sysClr val="windowText" lastClr="0000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glow rad="127000">
                <a:schemeClr val="bg1"/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glow rad="127000">
                <a:schemeClr val="bg1">
                  <a:lumMod val="95000"/>
                </a:schemeClr>
              </a:glo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'Frequency Example 3'!$F$2</c:f>
              <c:strCache>
                <c:ptCount val="1"/>
                <c:pt idx="0">
                  <c:v>Sum of Amt Spent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glow rad="127000">
                  <a:schemeClr val="bg1"/>
                </a:glo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'Frequency Example 3'!$E$3:$E$13</c:f>
              <c:strCache>
                <c:ptCount val="10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45-49</c:v>
                </c:pt>
                <c:pt idx="6">
                  <c:v>50-54</c:v>
                </c:pt>
                <c:pt idx="7">
                  <c:v>55-59</c:v>
                </c:pt>
                <c:pt idx="8">
                  <c:v>60-64</c:v>
                </c:pt>
                <c:pt idx="9">
                  <c:v>70-74</c:v>
                </c:pt>
              </c:strCache>
            </c:strRef>
          </c:cat>
          <c:val>
            <c:numRef>
              <c:f>'Frequency Example 3'!$F$3:$F$13</c:f>
              <c:numCache>
                <c:formatCode>General</c:formatCode>
                <c:ptCount val="10"/>
                <c:pt idx="0">
                  <c:v>671667</c:v>
                </c:pt>
                <c:pt idx="1">
                  <c:v>2606276</c:v>
                </c:pt>
                <c:pt idx="2">
                  <c:v>1069158</c:v>
                </c:pt>
                <c:pt idx="3">
                  <c:v>589009</c:v>
                </c:pt>
                <c:pt idx="4">
                  <c:v>1109549</c:v>
                </c:pt>
                <c:pt idx="5">
                  <c:v>314271</c:v>
                </c:pt>
                <c:pt idx="6">
                  <c:v>999849</c:v>
                </c:pt>
                <c:pt idx="7">
                  <c:v>1080062</c:v>
                </c:pt>
                <c:pt idx="8">
                  <c:v>1735170</c:v>
                </c:pt>
                <c:pt idx="9">
                  <c:v>554529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9-48F5-A688-8C30B87A40EE}"/>
            </c:ext>
          </c:extLst>
        </c:ser>
        <c:ser>
          <c:idx val="1"/>
          <c:order val="1"/>
          <c:tx>
            <c:strRef>
              <c:f>'Frequency Example 3'!$G$2</c:f>
              <c:strCache>
                <c:ptCount val="1"/>
                <c:pt idx="0">
                  <c:v>Count of Amt Spent2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>
                <a:glow rad="127000">
                  <a:schemeClr val="bg1">
                    <a:lumMod val="95000"/>
                  </a:schemeClr>
                </a:glo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'Frequency Example 3'!$E$3:$E$13</c:f>
              <c:strCache>
                <c:ptCount val="10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45-49</c:v>
                </c:pt>
                <c:pt idx="6">
                  <c:v>50-54</c:v>
                </c:pt>
                <c:pt idx="7">
                  <c:v>55-59</c:v>
                </c:pt>
                <c:pt idx="8">
                  <c:v>60-64</c:v>
                </c:pt>
                <c:pt idx="9">
                  <c:v>70-74</c:v>
                </c:pt>
              </c:strCache>
            </c:strRef>
          </c:cat>
          <c:val>
            <c:numRef>
              <c:f>'Frequency Example 3'!$G$3:$G$13</c:f>
              <c:numCache>
                <c:formatCode>General</c:formatCode>
                <c:ptCount val="10"/>
                <c:pt idx="0">
                  <c:v>1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39-48F5-A688-8C30B87A40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00"/>
        <c:axId val="343413424"/>
        <c:axId val="349375472"/>
      </c:barChart>
      <c:catAx>
        <c:axId val="34341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375472"/>
        <c:crosses val="autoZero"/>
        <c:auto val="1"/>
        <c:lblAlgn val="ctr"/>
        <c:lblOffset val="100"/>
        <c:noMultiLvlLbl val="0"/>
      </c:catAx>
      <c:valAx>
        <c:axId val="34937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41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601980</xdr:colOff>
      <xdr:row>1</xdr:row>
      <xdr:rowOff>7620</xdr:rowOff>
    </xdr:from>
    <xdr:to>
      <xdr:col>15</xdr:col>
      <xdr:colOff>297180</xdr:colOff>
      <xdr:row>15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EE9B85-C08D-4D4F-7BDE-661D4BB3B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411480</xdr:colOff>
      <xdr:row>0</xdr:row>
      <xdr:rowOff>160020</xdr:rowOff>
    </xdr:from>
    <xdr:to>
      <xdr:col>15</xdr:col>
      <xdr:colOff>106680</xdr:colOff>
      <xdr:row>15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4A4C23-F31A-5641-AFBB-6B28D4EE2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eec18b25c347ea2/Desktop/TOPS_TECHNOLOGY/ASSIGNMENT/STAT(2)/Covariance-Matrix-In-Excel.xlsx" TargetMode="External"/><Relationship Id="rId1" Type="http://schemas.openxmlformats.org/officeDocument/2006/relationships/externalLinkPath" Target="Covariance-Matrix-In-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SV_Example"/>
      <sheetName val="CSV Convert_1"/>
      <sheetName val="CSV Convert_UTF-8"/>
      <sheetName val="CSV Convert_UTF-16"/>
      <sheetName val="Array_Example"/>
      <sheetName val="Array_Use"/>
      <sheetName val="Array_Example 1"/>
      <sheetName val="Array_Example 2"/>
      <sheetName val="Array_Example 3"/>
      <sheetName val="Array_Evaluation"/>
      <sheetName val="Sheet1"/>
      <sheetName val="Show Formula_How"/>
      <sheetName val="Show Formula_Shortcut"/>
      <sheetName val="Show Formula_Enable"/>
      <sheetName val="Show Formula_Print"/>
      <sheetName val="Show Formula_Hide"/>
      <sheetName val="Header And Footer_Example"/>
      <sheetName val="Header And Footer_Add"/>
      <sheetName val="Header And Footer_Remove"/>
      <sheetName val="Header And Footer_Custom"/>
      <sheetName val="Header And Footer_Page Number"/>
      <sheetName val="Header And Footer_FAQ"/>
      <sheetName val="Waterfall Chart_Example"/>
      <sheetName val="Waterfall Chart_Create"/>
      <sheetName val="Waterfall Chart_Example 1"/>
      <sheetName val="Waterfall Chart_Example 2"/>
      <sheetName val="Pivot Chart_Example"/>
      <sheetName val="Pivot Chart_Create_Result"/>
      <sheetName val="Pivot Chart_Create"/>
      <sheetName val="Pivot Chart_Example 1_Result"/>
      <sheetName val="Pivot Chart_Example 1"/>
      <sheetName val="Pivot Chart_Example 2_Result"/>
      <sheetName val="Pivot Chart_Example 2"/>
      <sheetName val="Pivot Chart_Edit Result"/>
      <sheetName val="Pivot Chart_Edit"/>
      <sheetName val="Pivot Chart_FAQ"/>
      <sheetName val="Barcode_Example"/>
      <sheetName val="Barcode_Generate"/>
      <sheetName val="Barcode_Generate_Formual"/>
      <sheetName val="Barcode_Example 1"/>
      <sheetName val="Barcode_Example 2"/>
      <sheetName val="Barcode_Example 3"/>
      <sheetName val="Pareto Chart_Example"/>
      <sheetName val="Pareto Chart_Create"/>
      <sheetName val="Pareto Chart_ Create_1"/>
      <sheetName val="Pareto Chart_Dynamic"/>
      <sheetName val="Change Case_Example"/>
      <sheetName val="Change Case_Lower to Upper"/>
      <sheetName val="Change Case_Upper to Lower"/>
      <sheetName val="Change Case_Title Case"/>
      <sheetName val="Change Case_Flash Fill"/>
      <sheetName val="Change Case_Shortcut"/>
      <sheetName val="Change Case_FAQ"/>
      <sheetName val="TEXT()_Example"/>
      <sheetName val="TEXT()_Use"/>
      <sheetName val="Text()_Codes"/>
      <sheetName val="TEXT()_Example1"/>
      <sheetName val="TEXT()_Example2"/>
      <sheetName val="TEXT()_Example 3"/>
      <sheetName val="TEXT()_Example 4"/>
      <sheetName val="TEXT()_Example 5"/>
      <sheetName val="TEXT()_Example 6"/>
      <sheetName val="Greater_Equal_Example"/>
      <sheetName val="Greater_Equal_Use"/>
      <sheetName val="Greater_Equal_If"/>
      <sheetName val="Greater_Equal_COUNTIF"/>
      <sheetName val="Greater_Equal_SUMIF"/>
      <sheetName val="Greater_Equal_FAQ"/>
      <sheetName val="CHOOSE_Example"/>
      <sheetName val="CHOOSE_Use"/>
      <sheetName val="CHOOSE_Nested IFs"/>
      <sheetName val="CHOOSE_Arrays"/>
      <sheetName val="CHOOSE_Random"/>
      <sheetName val="CHOOSE_VLOOKUP"/>
      <sheetName val="CHOOSE_Month"/>
      <sheetName val="CHOOSE_FAQ"/>
      <sheetName val="Name Box_Example"/>
      <sheetName val="Name Box_Use 1"/>
      <sheetName val="Name Box_Use 2"/>
      <sheetName val="Name Box_Use 3"/>
      <sheetName val="Name Box_Use 4"/>
      <sheetName val="Name Box_Use 5"/>
      <sheetName val="Name Box_Use 6"/>
      <sheetName val="Name Box_Use 7"/>
      <sheetName val="Name Box_Edit"/>
      <sheetName val="FREQ_Example"/>
      <sheetName val="FREQ_Use"/>
      <sheetName val="FREQ_Example1"/>
      <sheetName val="FREQ_Example2"/>
      <sheetName val="FREQ_Example3"/>
      <sheetName val="FREQ_FAQ"/>
      <sheetName val="RANK_Example"/>
      <sheetName val="RANK_Use"/>
      <sheetName val="RANK_Example1"/>
      <sheetName val="RANK_Example 2"/>
      <sheetName val="RANK_Example 3"/>
      <sheetName val="RANK_FAQ"/>
      <sheetName val="RIGHT_Example"/>
      <sheetName val="RIGHT_Use"/>
      <sheetName val="RIGHT_Example1"/>
      <sheetName val="RIGHT_Example2"/>
      <sheetName val="RIGHT_Example3"/>
      <sheetName val="RIGHT_Example4"/>
      <sheetName val="RIGHT_Example5"/>
      <sheetName val="RIGHT_FAQ"/>
      <sheetName val="EOMONTH_Example"/>
      <sheetName val="EOMONTH_Use"/>
      <sheetName val="EOMONTH_Example1"/>
      <sheetName val="EOMONTH_Example 2"/>
      <sheetName val="EOMONTH_Example 3"/>
      <sheetName val="EOMONTH_FAQ"/>
      <sheetName val="FORECAST_Example"/>
      <sheetName val="FORECAST_Use"/>
      <sheetName val="FORECAST_Example 1"/>
      <sheetName val="FORECAST_Example 2"/>
      <sheetName val="MEDIAN_Example"/>
      <sheetName val="MEDIAN_Use"/>
      <sheetName val="MEDIAN_Example 1"/>
      <sheetName val="MEDIAN_Example 2"/>
      <sheetName val="MEDIAN_Example 3"/>
      <sheetName val="MEDIAN_FAQ"/>
      <sheetName val="NOW_Example"/>
      <sheetName val="NOW_Use"/>
      <sheetName val="NOW_Example 1"/>
      <sheetName val="NOW_Example 2"/>
      <sheetName val="NOW_Example 3"/>
      <sheetName val="NOW_FAQ"/>
      <sheetName val="PMT_Example"/>
      <sheetName val="PMT_Use"/>
      <sheetName val="PMT_Example 1"/>
      <sheetName val="PMT Example 2"/>
      <sheetName val="PMT Example 3"/>
      <sheetName val="PMT_FAQ"/>
      <sheetName val="ROW_Example"/>
      <sheetName val="ROW_Use"/>
      <sheetName val="ROW_Example 1"/>
      <sheetName val="ROW_Example 2"/>
      <sheetName val="ROW_Example 3"/>
      <sheetName val="ROW_FAQ"/>
      <sheetName val="AGG_Example"/>
      <sheetName val="Formulas"/>
      <sheetName val="AGG_Use"/>
      <sheetName val="AGG_Example 1"/>
      <sheetName val="AGG_Example 2"/>
      <sheetName val="AGG_Example 3"/>
      <sheetName val="AGG_FAQ"/>
      <sheetName val="CEILING_Example"/>
      <sheetName val="CEILING_Use"/>
      <sheetName val="CEILING_Example 1"/>
      <sheetName val="CEILING_Example 2"/>
      <sheetName val="CEILING_Example 3"/>
      <sheetName val="CEILING_FAQ"/>
      <sheetName val="LARGE_Example"/>
      <sheetName val="LARGE_Use"/>
      <sheetName val="LARGE_Example 1"/>
      <sheetName val="LARGE_Example 2"/>
      <sheetName val="LARGE_Example 3"/>
      <sheetName val="LARGE_FAQ"/>
      <sheetName val="SUBSTITUTE_Example"/>
      <sheetName val="SUBSTITUTE_Use"/>
      <sheetName val="SUBSTITUTE_Example 1"/>
      <sheetName val="SUBSTITUTE_Example 2"/>
      <sheetName val="SUBSTITUTE_Example 3"/>
      <sheetName val="SUBSTITUTE_FAQ"/>
      <sheetName val="WORKDAY_Example"/>
      <sheetName val="WORKDAY_Use"/>
      <sheetName val="WORKDAY_Example 1"/>
      <sheetName val="WORKDAY_Example 2"/>
      <sheetName val="WORKDAY_Example 3"/>
      <sheetName val="WORKDAY_FAQ"/>
      <sheetName val="MROUND_Example"/>
      <sheetName val="MROUND_Use"/>
      <sheetName val="MROUND_Example 1"/>
      <sheetName val="MROUND_Example 2"/>
      <sheetName val="MROUND_Example 3"/>
      <sheetName val="MROUND_FAQ"/>
      <sheetName val="POWER_Example"/>
      <sheetName val="POWER_Use"/>
      <sheetName val="POWER_Example 1"/>
      <sheetName val="POWER_Example 2"/>
      <sheetName val="POWER_Example 3"/>
      <sheetName val="POWER_FAQ 1"/>
      <sheetName val="POWER_FAQ 2"/>
      <sheetName val="CHAR_Example"/>
      <sheetName val="CHAR_Use"/>
      <sheetName val="CHAR_Example 1"/>
      <sheetName val="CHAR_Example 2"/>
      <sheetName val="CHAR_Example 3"/>
      <sheetName val="CHAR_FAQ 1"/>
      <sheetName val="CHAR_FAQ 2"/>
      <sheetName val="COLUMN_Example"/>
      <sheetName val="COLUMN_Use"/>
      <sheetName val="COLUMN_Example 1"/>
      <sheetName val="COLUMN_Example 2"/>
      <sheetName val="COLUMN_Example 3"/>
      <sheetName val="COLUMN_FAQ"/>
      <sheetName val="CLEAN_Example"/>
      <sheetName val="CLEAN_Use"/>
      <sheetName val="CLEAN_Example 1"/>
      <sheetName val="CLEAN_Example 2"/>
      <sheetName val="CLEAN_Example 3"/>
      <sheetName val="CLEAN_FAQ"/>
      <sheetName val="EDATE_Example"/>
      <sheetName val="EDATE_Use"/>
      <sheetName val="EDATE_Example 1"/>
      <sheetName val="EDATE_Example 2"/>
      <sheetName val="EDATE_Example 3"/>
      <sheetName val="EDATE_FAQ"/>
      <sheetName val="MODE_Example"/>
      <sheetName val="MODE_Use"/>
      <sheetName val="MODE_Example 1"/>
      <sheetName val="MODE_Example 2"/>
      <sheetName val="MODE_Example 3"/>
      <sheetName val="MODE_FAQ"/>
      <sheetName val="SWITCH_Example"/>
      <sheetName val="SWITCH_Use"/>
      <sheetName val="SWITCH_Example 1"/>
      <sheetName val="SWITCH_Example 2"/>
      <sheetName val="SWITCH_Example 3"/>
      <sheetName val="SWITCH_FAQ"/>
      <sheetName val="XOR_Example"/>
      <sheetName val="XOR_Use"/>
      <sheetName val="XOR_Example 1"/>
      <sheetName val="XOR_Example 2"/>
      <sheetName val="XOR_Example 3"/>
      <sheetName val="XOR_FAQ"/>
      <sheetName val="ISERROR_Example"/>
      <sheetName val="ISERROR_Use"/>
      <sheetName val="ISERROR_Example 1"/>
      <sheetName val="ISERROR_Example 2"/>
      <sheetName val="ISERROR_Example 3"/>
      <sheetName val="ISERROR_FAQ 1"/>
      <sheetName val="ISERROR_FAQ 2"/>
      <sheetName val="NETWORKDAYS_Example"/>
      <sheetName val="NETWORKDAYS_Use"/>
      <sheetName val="NETWORKDAYS_Example 1"/>
      <sheetName val="NETWORKDAYS_Example 2"/>
      <sheetName val="NETWORKDAYS_Example 3"/>
      <sheetName val="NETWORKDAYS_FAQ"/>
      <sheetName val="PERCENTILE_Example"/>
      <sheetName val="PERCENTILE_Use"/>
      <sheetName val="PERCENTILE_Example 1"/>
      <sheetName val="PERCENTILE_Example 2"/>
      <sheetName val="PERCENTILE_Example 3"/>
      <sheetName val="PERCENTILE_FAQ1"/>
      <sheetName val="PERCENTILE_FAQ2"/>
      <sheetName val="ROUNDDOWN_Example"/>
      <sheetName val="ROUNDDOWN_Use"/>
      <sheetName val="ROUNDDOWN_Example 1"/>
      <sheetName val="ROUNDDOWN_Example 2"/>
      <sheetName val="ROUNDDOWN_Example 3"/>
      <sheetName val="ROUNDDOWN_FAQ"/>
      <sheetName val="ISNA_Example"/>
      <sheetName val="ISNA_Use"/>
      <sheetName val="ISNA_Example 1"/>
      <sheetName val="ISNA_Example 2"/>
      <sheetName val="ISNA_Example 3"/>
      <sheetName val="ISNA_FAQ"/>
      <sheetName val="MIRR_Example"/>
      <sheetName val="MIRR_Use"/>
      <sheetName val="MIRR_Example 1"/>
      <sheetName val="MIRR_Example 2"/>
      <sheetName val="MIRR_Example 3"/>
      <sheetName val="MIRR_FAQ"/>
      <sheetName val="CONVERT_Example"/>
      <sheetName val="Units"/>
      <sheetName val="CONVERT_Use"/>
      <sheetName val="CONVERT_Example 1"/>
      <sheetName val="CONVERT_Example 2"/>
      <sheetName val="CONVERT_Example 3"/>
      <sheetName val="CONVERT_FAQ 1"/>
      <sheetName val="REPT_Example"/>
      <sheetName val="REPT_Use"/>
      <sheetName val="REPT_Example 1"/>
      <sheetName val="REPT_Example 2"/>
      <sheetName val="REPT_Example 3"/>
      <sheetName val="REPT_FAQ 1"/>
      <sheetName val="PRICE_Example"/>
      <sheetName val="Freq and basis"/>
      <sheetName val="PRICE_Use"/>
      <sheetName val="PRICE_Example 1"/>
      <sheetName val="PRICE_Example 2"/>
      <sheetName val="PRICE_Example 3"/>
      <sheetName val="PRICE_FAQ"/>
      <sheetName val="GROWTH_Example"/>
      <sheetName val="GROWTH_Use"/>
      <sheetName val="GROWTH_Example 1"/>
      <sheetName val="GROWTH_Example 2"/>
      <sheetName val="GROWTH_Example 3"/>
      <sheetName val="GROWTH_FAQ 1"/>
      <sheetName val="AVERAGEIF_Example"/>
      <sheetName val="AVERAGEIF_Use"/>
      <sheetName val="AVERAGEIF_Example 1"/>
      <sheetName val="AVERAGEIF_Example 2"/>
      <sheetName val="AVERAGEIF_Example 3"/>
      <sheetName val="AVERAGEIF_FAQ 1"/>
      <sheetName val="AVERAGEIF_FAQ 2"/>
      <sheetName val="NPER_Example"/>
      <sheetName val="Installments"/>
      <sheetName val="NPER_Use"/>
      <sheetName val="NPER_Example 1"/>
      <sheetName val="NPER_Example 2"/>
      <sheetName val="NPER_Example 3"/>
      <sheetName val="NPER_FAQ"/>
      <sheetName val="MMULT_Example"/>
      <sheetName val="MMULT_Use"/>
      <sheetName val="MMULT_Example 1"/>
      <sheetName val="MMULT_Example 2"/>
      <sheetName val="MMULT_Example 3"/>
      <sheetName val="MMULT_FAQ"/>
      <sheetName val="YIELD_Example"/>
      <sheetName val="Freq_Basis"/>
      <sheetName val="YIELD_Use"/>
      <sheetName val="YIELD_Example 1"/>
      <sheetName val="YIELD_Example 2"/>
      <sheetName val="YIELD_Example 3"/>
      <sheetName val="YIELD_FAQ"/>
      <sheetName val="Stock Chart_Example"/>
      <sheetName val="Stock Chart_Use"/>
      <sheetName val="Stock_Example 1"/>
      <sheetName val="Stock_Example 2"/>
      <sheetName val="Stock_FAQ"/>
      <sheetName val="LOOKUP_Example"/>
      <sheetName val="LOOKUP_Use"/>
      <sheetName val="LOOKUP_Example 1"/>
      <sheetName val="LOOKUP_Example 2"/>
      <sheetName val="LOOKUP_Example 3"/>
      <sheetName val="LOOKUP_FAQ"/>
      <sheetName val="Grouped Bar_Example"/>
      <sheetName val="Grouped Bar_Use_rough"/>
      <sheetName val="Grouped Bar_Use"/>
      <sheetName val="Grouped Bar_Use1"/>
      <sheetName val="Grouped Bar_Example 1"/>
      <sheetName val="Grouped Bar_Example 2"/>
      <sheetName val="Grouped Bar_FAQ"/>
      <sheetName val="Timeline Chart_Example"/>
      <sheetName val="Timeline Chart_Use"/>
      <sheetName val="Timeline Chart_Example 1"/>
      <sheetName val="Timeline Chart_Example 2"/>
      <sheetName val="Timeline Chart_FAQ"/>
      <sheetName val="Two-var_Example"/>
      <sheetName val="Two-var_Use"/>
      <sheetName val="Two-var_Calculation Sheet"/>
      <sheetName val="Two-var Output Sheet"/>
      <sheetName val="Two-var_Example 2"/>
      <sheetName val="Two-var_FAQ"/>
      <sheetName val="One-var_Example"/>
      <sheetName val="One-var_Use"/>
      <sheetName val="One-var_Example 1"/>
      <sheetName val="One-var Example 2"/>
      <sheetName val="One-var_FAQ"/>
      <sheetName val="Funnel_Example"/>
      <sheetName val="Funnel_Use_2013"/>
      <sheetName val="Funnel_Use"/>
      <sheetName val="Funnel_Example 1"/>
      <sheetName val="Funnel_Example 2"/>
      <sheetName val="Funnel_Example 2_1"/>
      <sheetName val="Funnel_FAQ"/>
      <sheetName val="EFNW_Example"/>
      <sheetName val="EFNW_1_2"/>
      <sheetName val="EFNW_3_4"/>
      <sheetName val="EFNW_5"/>
      <sheetName val="EFNW 6"/>
      <sheetName val="EFNW_7"/>
      <sheetName val="EFNW_Not updating"/>
      <sheetName val="EFNW_Not Calculating"/>
      <sheetName val="EFNW_FAQ"/>
      <sheetName val="SUMIF_Mult_Example"/>
      <sheetName val="SUMIF_Mult_Use"/>
      <sheetName val="SUMIF_Mult_Example 1"/>
      <sheetName val="SUMIF_Mult_Example 2"/>
      <sheetName val="SUMIF_Mult_Example 3"/>
      <sheetName val="SUMIFS_Mult_Use"/>
      <sheetName val="SUMIFS_Mult_Example 1"/>
      <sheetName val="SUMIFS_Mult_Example 2"/>
      <sheetName val="SUMIFS_Mult_Example 3"/>
      <sheetName val="SUMIF_Mult_FAQ"/>
      <sheetName val="CORREL_Example"/>
      <sheetName val="CORREL_Use"/>
      <sheetName val="CORREL_Example 1"/>
      <sheetName val="CORREL_Example 2"/>
      <sheetName val="CORREL_Example 3"/>
      <sheetName val="CORREL_FAQ"/>
      <sheetName val="FALSE_Example"/>
      <sheetName val="FALSE_Use"/>
      <sheetName val="FALSE_Example 1"/>
      <sheetName val="FALSE_Example 2"/>
      <sheetName val="FALSE_Example 3"/>
      <sheetName val="FALSE_FAQ 1"/>
      <sheetName val="FALSE_FAQ 2"/>
      <sheetName val="RANDBETWEEN_Example"/>
      <sheetName val="RANBETWEEN_Use"/>
      <sheetName val="RANBETWEEN_Use1"/>
      <sheetName val="RANBETWEEN_Example 1"/>
      <sheetName val="RANBETWEEN_Example 2"/>
      <sheetName val="RANBETWEEN_Example 3"/>
      <sheetName val="RANBETWEEN_FAQ"/>
      <sheetName val="RANBETWEEN_FAQ1"/>
      <sheetName val="PRODUCT_Example"/>
      <sheetName val="PRODUCT_Use"/>
      <sheetName val="PRODUCT_Example 1"/>
      <sheetName val="PRODUCT_Example 2"/>
      <sheetName val="PRODUCT_Example 3"/>
      <sheetName val="PRODUCT_FAQ"/>
      <sheetName val="Sales Report_RegionalOffice1"/>
      <sheetName val="Sales Report_RegionalOffice2"/>
      <sheetName val="Sales Report_Overall"/>
      <sheetName val="Texas_Year1 Revenue Report"/>
      <sheetName val="Texas_Year2 Revenue Report"/>
      <sheetName val="Texas_Year3 Revenue Report"/>
      <sheetName val="Texas_Overall Revenue Report"/>
      <sheetName val="Assessment1_Marks"/>
      <sheetName val="Assessment2_Marks"/>
      <sheetName val="Assessment_Best Of Two"/>
      <sheetName val="Dealer1_Order Data"/>
      <sheetName val="Dealer2_Order Data"/>
      <sheetName val="Dealers_Overall Order Data"/>
      <sheetName val="Table1_Data"/>
      <sheetName val="2021_Day Temperature"/>
      <sheetName val="2022_Day Temperature"/>
      <sheetName val="Average_Day Temperature"/>
      <sheetName val="WEEKNUM_Example"/>
      <sheetName val="Return Type"/>
      <sheetName val="WEEKNUM_Use"/>
      <sheetName val="WEEKNUM_Example 1"/>
      <sheetName val="WEEKNUM_Example 2"/>
      <sheetName val="WEEKNUM_Example 3"/>
      <sheetName val="WEEKNUM_FAQ"/>
      <sheetName val="TDIST_Example"/>
      <sheetName val="TDIST_Use"/>
      <sheetName val="TDIST_Example 1"/>
      <sheetName val="TDIST_Example 2"/>
      <sheetName val="TDIST_Example 3"/>
      <sheetName val="TDIST_FAQ"/>
      <sheetName val="SQRT_Example"/>
      <sheetName val="SQRT_Use"/>
      <sheetName val="SQRT_Example 1"/>
      <sheetName val="SQRT_Example 2"/>
      <sheetName val="SQRT_Example 3"/>
      <sheetName val="SQRT_FAQ"/>
      <sheetName val="NORM.DIST_Example"/>
      <sheetName val="NORM.DIST_Use"/>
      <sheetName val="NORM.DIST_Example 1"/>
      <sheetName val="NORM.DIST_Example 1_1"/>
      <sheetName val="NORM.DIST_Example 2"/>
      <sheetName val="NORM.DIST_Example 3"/>
      <sheetName val="NORM.DIST_FAQ"/>
      <sheetName val="MOD_Example"/>
      <sheetName val="MOD_Use"/>
      <sheetName val="MOD_Example 1"/>
      <sheetName val="MOD_Example 2"/>
      <sheetName val="MOD_Example 3"/>
      <sheetName val="MOD_FAQ 1"/>
      <sheetName val="LOG_Example"/>
      <sheetName val="LOG_Use"/>
      <sheetName val="LOG_Example 1"/>
      <sheetName val="LOG_Example 2"/>
      <sheetName val="LOG_Example 3"/>
      <sheetName val="LOG_FAQ"/>
      <sheetName val="ISTEXT_Example"/>
      <sheetName val="ISTEXT_Use"/>
      <sheetName val="ISTEXT_Example 1"/>
      <sheetName val="ISTEXT_Example 2"/>
      <sheetName val="ISTEXT_Example 3"/>
      <sheetName val="ISTEXT_FAQ"/>
      <sheetName val="INT_Example"/>
      <sheetName val="INT_Use"/>
      <sheetName val="INT_Example 1"/>
      <sheetName val="INT_Example 2"/>
      <sheetName val="INT_Example 3"/>
      <sheetName val="INT_FAQ"/>
      <sheetName val="IFNA_Example"/>
      <sheetName val="IFNA_Use"/>
      <sheetName val="IFNA_Example 1"/>
      <sheetName val="IFNA_Example 2"/>
      <sheetName val="IFNA_Example 3"/>
      <sheetName val="IFNA_FAQ"/>
      <sheetName val="HYPERLINK_Example"/>
      <sheetName val="HYPERLINK_Use"/>
      <sheetName val="HYPERLINK_Example 1"/>
      <sheetName val="HYPERLINK_Example 2"/>
      <sheetName val="HYPERLINK_Example 3"/>
      <sheetName val="HYPERLINK_FAQ"/>
      <sheetName val="HYPERLINK_FAQ 1"/>
      <sheetName val="FTEST_Example"/>
      <sheetName val="FTEST_Use"/>
      <sheetName val="FTEST_Example 1"/>
      <sheetName val="FTEST_Example 2"/>
      <sheetName val="FTEST_Example 3"/>
      <sheetName val="FTEST_FAQ"/>
      <sheetName val="EXP_Example"/>
      <sheetName val="EXP_Use"/>
      <sheetName val="EXP_Example 1"/>
      <sheetName val="EXP_Example 2"/>
      <sheetName val="EXP_Example 3"/>
      <sheetName val="EXP_FAQ"/>
      <sheetName val="EXP_FAQ1"/>
      <sheetName val="DMAX_Example"/>
      <sheetName val="DMAX_Use"/>
      <sheetName val="DMAX_Example 1"/>
      <sheetName val="DMAX_Example 2"/>
      <sheetName val="DMAX_Example 3"/>
      <sheetName val="DMAX_FAQ"/>
      <sheetName val="COVAR_Example"/>
      <sheetName val="COVAR_Use"/>
      <sheetName val="COVAR_Example 1"/>
      <sheetName val="COVAR_Example 2"/>
      <sheetName val="COVAR_Example 3"/>
      <sheetName val="COVAR_FAQ"/>
      <sheetName val="COUNTBLANK_Example"/>
      <sheetName val="COUNTBLANK_Use"/>
      <sheetName val="COUNTBLANK_Example 1"/>
      <sheetName val="COUNTBLANK_Example 2"/>
      <sheetName val="COUNTBLANK_Example 3"/>
      <sheetName val="COUNTBLANK_FAQ"/>
      <sheetName val="COUNTBLANK_FAQ1"/>
      <sheetName val="Chi-Square Test_Example"/>
      <sheetName val="Chi-Square Test_Example1"/>
      <sheetName val="Chi-Square Test_Example 1"/>
      <sheetName val="Chi-Square Test_Example 2"/>
      <sheetName val="Chi-Square Test_FAQ"/>
      <sheetName val="ISEVEN_Example"/>
      <sheetName val="ISEVEN_Use"/>
      <sheetName val="ISEVEN_Example 1"/>
      <sheetName val="ISEVEN_Example 2"/>
      <sheetName val="ISEVEN_Example 3"/>
      <sheetName val="ISEVEN_FAQ"/>
      <sheetName val="ISODD_Example"/>
      <sheetName val="ISODD_Use"/>
      <sheetName val="ISODD_Example 1"/>
      <sheetName val="ISODD_Example 2"/>
      <sheetName val="ISODD_Example 3"/>
      <sheetName val="Sheet8"/>
      <sheetName val="ISODD_FAQ"/>
      <sheetName val="IRR_Example"/>
      <sheetName val="IRR_Use"/>
      <sheetName val="IRR_Example 1"/>
      <sheetName val="IRR_Example 2"/>
      <sheetName val="IRR_Example 3"/>
      <sheetName val="IRR_FAQ"/>
      <sheetName val="IRR FAQ1"/>
      <sheetName val="Subtraction_Example"/>
      <sheetName val="Subtraction_Use"/>
      <sheetName val="Subtraction_Cells"/>
      <sheetName val="Subtraction_Columns"/>
      <sheetName val="Subtraction_Percentage"/>
      <sheetName val="Subtraction_Date"/>
      <sheetName val="Subtraction_Time"/>
      <sheetName val="Subtraction_Matrix"/>
      <sheetName val="Subtraction_Text"/>
      <sheetName val="Subtraction_List"/>
      <sheetName val="Subtraction_FAQ"/>
      <sheetName val="Divide_Example"/>
      <sheetName val="Divide_Sign"/>
      <sheetName val="Divide_Quotient"/>
      <sheetName val="Divide_Columns"/>
      <sheetName val="Divide_Col_Num"/>
      <sheetName val="Divide_Col_Num1"/>
      <sheetName val="Divide_Percentage"/>
      <sheetName val="Divide_Error"/>
      <sheetName val="DIVIDE_FAQ"/>
      <sheetName val="DIVIDE_FAQ1"/>
      <sheetName val="Substring_Example"/>
      <sheetName val="Substring_Fns"/>
      <sheetName val="Substring_before"/>
      <sheetName val="Substring_after"/>
      <sheetName val="Substring_between"/>
      <sheetName val="Substring_partial"/>
      <sheetName val="Substring_FAQ"/>
      <sheetName val="ConvertTN_Example"/>
      <sheetName val="ConvertTN_Identify"/>
      <sheetName val="ConvertTN_QuickOption"/>
      <sheetName val="ConvertTN_PasteSpecial"/>
      <sheetName val="ConvertTN_TextCol"/>
      <sheetName val="ConvertTN_Formula"/>
      <sheetName val="ConvertTN_Math"/>
      <sheetName val="ConvertTN_FAQ"/>
      <sheetName val="PChange_Example"/>
      <sheetName val="PChange_In_De"/>
      <sheetName val="PChange_After"/>
      <sheetName val="PChange_After1"/>
      <sheetName val="PChange_Absolute"/>
      <sheetName val="PChange_Discount"/>
      <sheetName val="PChange_Zero"/>
      <sheetName val="PChange_Negative"/>
      <sheetName val="PChange_Error"/>
      <sheetName val="PChange_FAQ"/>
      <sheetName val="VALUE_Error_Example"/>
      <sheetName val="VALUE_Error_Text_String"/>
      <sheetName val="VALUE_Error_Argument_Type"/>
      <sheetName val="VALUE_Error_Date"/>
      <sheetName val="VALUE_Error_Fix"/>
      <sheetName val="VALUE_Error_Find"/>
      <sheetName val="VALUE_Error_FAQ"/>
      <sheetName val="P-value_Example"/>
      <sheetName val="P-Value_Use"/>
      <sheetName val="Sheet5"/>
      <sheetName val="P-Value_Use1"/>
      <sheetName val="P-Value_Example 1"/>
      <sheetName val="P-Value_Example 2"/>
      <sheetName val="P-Value FAQ"/>
      <sheetName val="Page_Example"/>
      <sheetName val="Page_Create"/>
      <sheetName val="Sheet15"/>
      <sheetName val="Page_Example 1"/>
      <sheetName val="Page_Example 2"/>
      <sheetName val="Page_Example 3"/>
      <sheetName val="Page_FAQ"/>
      <sheetName val="CONFIDENCE_Example"/>
      <sheetName val="CONFIDENCE_Use"/>
      <sheetName val="CONFIDENCE_Example 1"/>
      <sheetName val="CONFIDENCE_Example 1_1"/>
      <sheetName val="CONFIDENCE_Example 2"/>
      <sheetName val="CONFIDENCE_Example 3"/>
      <sheetName val="CONFIDENCE_FAQ"/>
      <sheetName val="LI_Example"/>
      <sheetName val="LI_Use"/>
      <sheetName val="LI_Example1"/>
      <sheetName val="LI_Example2"/>
      <sheetName val="LI_Example3"/>
      <sheetName val="LI_FAQ"/>
      <sheetName val="CS_Example"/>
      <sheetName val="CS_Use"/>
      <sheetName val="CS_Example 1"/>
      <sheetName val="CS_Example 2"/>
      <sheetName val="CS_Example 3"/>
      <sheetName val="CS_FAQ"/>
      <sheetName val="UNICODE_Example"/>
      <sheetName val="UNICODE_Use"/>
      <sheetName val="UNICODE_Example 1"/>
      <sheetName val="UNICODE_Example 2"/>
      <sheetName val="UNICODE_Example 23"/>
      <sheetName val="UNICODE_Example 3"/>
      <sheetName val="UNICODE_FAQ"/>
      <sheetName val="Fractions_Example"/>
      <sheetName val="Fractions_Use"/>
      <sheetName val="Fractions_Example 1"/>
      <sheetName val="Fractions_Example 2"/>
      <sheetName val="Fractions_Example 3"/>
      <sheetName val="Fractions_FAQ"/>
      <sheetName val="IF_AND_Example"/>
      <sheetName val="IF_AND_Use"/>
      <sheetName val="IF_AND_Example 1"/>
      <sheetName val="IF_AND_Example 2"/>
      <sheetName val="IF_AND_Example 3"/>
      <sheetName val="IF_AND_FAQ"/>
      <sheetName val="NORM.S.INV_Example"/>
      <sheetName val="NORM.S.INV_Use"/>
      <sheetName val="NORM.S.INV_Example 1"/>
      <sheetName val="NORM.S.INV_Example 2"/>
      <sheetName val="NORM.S.INV_Example 3"/>
      <sheetName val="NORM.S.INV_FAQ"/>
      <sheetName val="NORM.S.INV_FAQ1"/>
      <sheetName val="Percentage_Example"/>
      <sheetName val="Percentage_Use"/>
      <sheetName val="Percentage_Example 1"/>
      <sheetName val="Percentage_Example 2"/>
      <sheetName val="Percentage_Example 3"/>
      <sheetName val="Percentage_FAQ"/>
      <sheetName val="SentenceCase_Example"/>
      <sheetName val="SentenceCase_Use"/>
      <sheetName val="SentenceCase_Example 1"/>
      <sheetName val="SentenceCase_Example 2"/>
      <sheetName val="SentenceCase_Example 3"/>
      <sheetName val="SentenceCase_FAQ"/>
      <sheetName val="SP_MC_Example"/>
      <sheetName val="SP_MC_Use"/>
      <sheetName val="SP_MC_Example 1"/>
      <sheetName val="SP_MC_Example 2"/>
      <sheetName val="SP_MC_Example 3"/>
      <sheetName val="SP_MC_FAQ"/>
      <sheetName val="Charts_Example"/>
      <sheetName val="Chart_Column"/>
      <sheetName val="Chart_Line"/>
      <sheetName val="Chart_Pie"/>
      <sheetName val="Chart_Bar"/>
      <sheetName val="Chart_Area"/>
      <sheetName val="Chart_Scatter"/>
      <sheetName val="Chart_Stock"/>
      <sheetName val="Chart_Radar"/>
      <sheetName val="Chart_Histogram"/>
      <sheetName val="Chart_Waterfall"/>
      <sheetName val="Z-test_Example"/>
      <sheetName val="Z-test_Use"/>
      <sheetName val="Z-test_Example 1"/>
      <sheetName val="Z-test_Example 2"/>
      <sheetName val="Z-test_Example 3"/>
      <sheetName val="Z-test_FAQ"/>
      <sheetName val="WD_Example"/>
      <sheetName val="WD_Use"/>
      <sheetName val="WD_Example 1"/>
      <sheetName val="WD_Example 2"/>
      <sheetName val="WD_Example 3"/>
      <sheetName val="WD_Example 3_1"/>
      <sheetName val="WD_FAQ"/>
      <sheetName val="Break-Even_Example"/>
      <sheetName val="Break-Even_Example 1"/>
      <sheetName val="Break-Even_Example 2"/>
      <sheetName val="Break-Even_Example 3"/>
      <sheetName val="Break-Even_Example 4"/>
      <sheetName val="Break-Even_FAQ"/>
      <sheetName val="DEGREES_Example"/>
      <sheetName val="DEGREES_Use"/>
      <sheetName val="DEGREES_Example 1"/>
      <sheetName val="DEGREES_Example 2"/>
      <sheetName val="DEGREES_Example 3"/>
      <sheetName val="DEGREES_FAQ"/>
      <sheetName val="Area Chart_Example"/>
      <sheetName val="Area Chart_Use"/>
      <sheetName val="Area Chart_Example 1"/>
      <sheetName val="Area Chart_Example 2"/>
      <sheetName val="Area Chart_Example 2_1"/>
      <sheetName val="Area Chart_Example 3"/>
      <sheetName val="Area Chart_FAQ"/>
      <sheetName val="CColChart_Example"/>
      <sheetName val="CColChart_Use"/>
      <sheetName val="CColChart_Example 1"/>
      <sheetName val="CColChart_Example 2"/>
      <sheetName val="CColChart_Example 3"/>
      <sheetName val="CColChart_FAQ"/>
      <sheetName val="LOGNORMAL.DIST_Example"/>
      <sheetName val="LOGNORMAL.DIST_Use"/>
      <sheetName val="LOGNORMAL.DIST_Example 1"/>
      <sheetName val="LOGNORMAL.DIST_Example 2"/>
      <sheetName val="LOGNORMAL.DIST_Example 3"/>
      <sheetName val="LOGNORMAL.DIST_FAQ"/>
      <sheetName val="Tally_Example"/>
      <sheetName val="Tally_Use"/>
      <sheetName val="Tally_Example 1"/>
      <sheetName val="Tally_Example 2"/>
      <sheetName val="Tally_Example 3"/>
      <sheetName val="Tally_FAQ"/>
      <sheetName val="Bubble_Example"/>
      <sheetName val="Bubble_Create"/>
      <sheetName val="Bubble_Example 1"/>
      <sheetName val="Bubble_Example 2"/>
      <sheetName val="Bubble_FAQ"/>
      <sheetName val="ExcelMojo"/>
      <sheetName val="CovMat_Example"/>
      <sheetName val="CovMat_Use"/>
      <sheetName val="CovMat_Example 1"/>
      <sheetName val="CovMat_Example 2"/>
      <sheetName val="CovMat_Example 3"/>
      <sheetName val="CovMat_FAQ"/>
      <sheetName val="Master Worksheet"/>
      <sheetName val="Rough"/>
      <sheetName val="Array_FA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>
        <row r="4">
          <cell r="A4">
            <v>151.91999999999999</v>
          </cell>
          <cell r="B4">
            <v>100.05</v>
          </cell>
          <cell r="C4">
            <v>100.77</v>
          </cell>
          <cell r="D4">
            <v>266.73</v>
          </cell>
        </row>
        <row r="5">
          <cell r="A5">
            <v>174.38</v>
          </cell>
          <cell r="B5">
            <v>111.51</v>
          </cell>
          <cell r="C5">
            <v>111.65</v>
          </cell>
          <cell r="D5">
            <v>277.14</v>
          </cell>
        </row>
        <row r="6">
          <cell r="A6">
            <v>161.22</v>
          </cell>
          <cell r="B6">
            <v>120.11</v>
          </cell>
          <cell r="C6">
            <v>110.18</v>
          </cell>
          <cell r="D6">
            <v>289.49</v>
          </cell>
        </row>
        <row r="7">
          <cell r="A7">
            <v>162.29</v>
          </cell>
          <cell r="B7">
            <v>110.23</v>
          </cell>
          <cell r="C7">
            <v>120.27</v>
          </cell>
          <cell r="D7">
            <v>286.77</v>
          </cell>
        </row>
        <row r="8">
          <cell r="A8">
            <v>171.81</v>
          </cell>
          <cell r="B8">
            <v>123.94</v>
          </cell>
          <cell r="C8">
            <v>123.24</v>
          </cell>
          <cell r="D8">
            <v>276.22000000000003</v>
          </cell>
        </row>
      </sheetData>
      <sheetData sheetId="739">
        <row r="4">
          <cell r="B4">
            <v>98</v>
          </cell>
          <cell r="C4">
            <v>99</v>
          </cell>
          <cell r="D4">
            <v>75</v>
          </cell>
        </row>
        <row r="5">
          <cell r="B5">
            <v>80</v>
          </cell>
          <cell r="C5">
            <v>85</v>
          </cell>
          <cell r="D5">
            <v>100</v>
          </cell>
        </row>
        <row r="6">
          <cell r="B6">
            <v>87</v>
          </cell>
          <cell r="C6">
            <v>83</v>
          </cell>
          <cell r="D6">
            <v>91</v>
          </cell>
        </row>
        <row r="7">
          <cell r="B7">
            <v>95</v>
          </cell>
          <cell r="C7">
            <v>90</v>
          </cell>
          <cell r="D7">
            <v>94</v>
          </cell>
        </row>
        <row r="8">
          <cell r="B8">
            <v>79</v>
          </cell>
          <cell r="C8">
            <v>73</v>
          </cell>
          <cell r="D8">
            <v>80</v>
          </cell>
        </row>
      </sheetData>
      <sheetData sheetId="740">
        <row r="4">
          <cell r="B4">
            <v>40</v>
          </cell>
          <cell r="C4">
            <v>63</v>
          </cell>
          <cell r="D4">
            <v>161</v>
          </cell>
        </row>
        <row r="5">
          <cell r="B5">
            <v>35</v>
          </cell>
          <cell r="C5">
            <v>59</v>
          </cell>
          <cell r="D5">
            <v>159</v>
          </cell>
        </row>
        <row r="6">
          <cell r="B6">
            <v>39</v>
          </cell>
          <cell r="C6">
            <v>64</v>
          </cell>
          <cell r="D6">
            <v>163</v>
          </cell>
        </row>
        <row r="7">
          <cell r="B7">
            <v>32</v>
          </cell>
          <cell r="C7">
            <v>69</v>
          </cell>
          <cell r="D7">
            <v>165</v>
          </cell>
        </row>
        <row r="8">
          <cell r="B8">
            <v>33</v>
          </cell>
          <cell r="C8">
            <v>60</v>
          </cell>
          <cell r="D8">
            <v>160</v>
          </cell>
        </row>
        <row r="9">
          <cell r="B9">
            <v>30</v>
          </cell>
          <cell r="C9">
            <v>55</v>
          </cell>
          <cell r="D9">
            <v>155</v>
          </cell>
        </row>
        <row r="10">
          <cell r="B10">
            <v>31</v>
          </cell>
          <cell r="C10">
            <v>61</v>
          </cell>
          <cell r="D10">
            <v>160</v>
          </cell>
        </row>
        <row r="11">
          <cell r="B11">
            <v>40</v>
          </cell>
          <cell r="C11">
            <v>65</v>
          </cell>
          <cell r="D11">
            <v>164</v>
          </cell>
        </row>
        <row r="12">
          <cell r="B12">
            <v>38</v>
          </cell>
          <cell r="C12">
            <v>69</v>
          </cell>
          <cell r="D12">
            <v>168</v>
          </cell>
        </row>
        <row r="13">
          <cell r="B13">
            <v>37</v>
          </cell>
          <cell r="C13">
            <v>70</v>
          </cell>
          <cell r="D13">
            <v>170</v>
          </cell>
        </row>
      </sheetData>
      <sheetData sheetId="741">
        <row r="3">
          <cell r="C3">
            <v>8.5000000000000006E-2</v>
          </cell>
          <cell r="D3">
            <v>9.9000000000000005E-2</v>
          </cell>
          <cell r="E3">
            <v>9.5000000000000001E-2</v>
          </cell>
          <cell r="F3">
            <v>7.85E-2</v>
          </cell>
          <cell r="G3">
            <v>6.9800000000000001E-2</v>
          </cell>
          <cell r="H3">
            <v>8.8800000000000004E-2</v>
          </cell>
        </row>
        <row r="4">
          <cell r="C4">
            <v>6.4500000000000002E-2</v>
          </cell>
          <cell r="D4">
            <v>8.3400000000000002E-2</v>
          </cell>
          <cell r="E4">
            <v>9.5500000000000002E-2</v>
          </cell>
          <cell r="F4">
            <v>6.3100000000000003E-2</v>
          </cell>
          <cell r="G4">
            <v>7.1400000000000005E-2</v>
          </cell>
          <cell r="H4">
            <v>5.8200000000000002E-2</v>
          </cell>
        </row>
      </sheetData>
      <sheetData sheetId="742">
        <row r="3">
          <cell r="A3">
            <v>10</v>
          </cell>
          <cell r="B3">
            <v>14</v>
          </cell>
          <cell r="C3">
            <v>38</v>
          </cell>
        </row>
        <row r="4">
          <cell r="A4">
            <v>25</v>
          </cell>
          <cell r="B4">
            <v>29</v>
          </cell>
          <cell r="C4">
            <v>27</v>
          </cell>
        </row>
        <row r="5">
          <cell r="A5">
            <v>15</v>
          </cell>
          <cell r="B5">
            <v>33</v>
          </cell>
          <cell r="C5">
            <v>21</v>
          </cell>
        </row>
        <row r="6">
          <cell r="A6">
            <v>23</v>
          </cell>
          <cell r="B6">
            <v>41</v>
          </cell>
          <cell r="C6">
            <v>35</v>
          </cell>
        </row>
        <row r="7">
          <cell r="A7">
            <v>33</v>
          </cell>
          <cell r="B7">
            <v>28</v>
          </cell>
          <cell r="C7">
            <v>22</v>
          </cell>
        </row>
      </sheetData>
      <sheetData sheetId="743">
        <row r="4">
          <cell r="B4">
            <v>9.5399999999999999E-2</v>
          </cell>
          <cell r="C4">
            <v>9.98E-2</v>
          </cell>
          <cell r="D4">
            <v>8.3299999999999999E-2</v>
          </cell>
        </row>
        <row r="5">
          <cell r="B5">
            <v>3.2800000000000003E-2</v>
          </cell>
          <cell r="C5">
            <v>4.2950000000000002E-2</v>
          </cell>
          <cell r="D5">
            <v>5.9200000000000003E-2</v>
          </cell>
        </row>
        <row r="6">
          <cell r="B6">
            <v>-6.6299999999999998E-2</v>
          </cell>
          <cell r="C6">
            <v>1.84E-2</v>
          </cell>
          <cell r="D6">
            <v>9.3799999999999994E-2</v>
          </cell>
        </row>
        <row r="7">
          <cell r="B7">
            <v>7.85E-2</v>
          </cell>
          <cell r="C7">
            <v>8.2600000000000007E-2</v>
          </cell>
          <cell r="D7">
            <v>7.2700000000000001E-2</v>
          </cell>
        </row>
        <row r="8">
          <cell r="B8">
            <v>0.1835</v>
          </cell>
          <cell r="C8">
            <v>0.1421</v>
          </cell>
          <cell r="D8">
            <v>0.1956</v>
          </cell>
        </row>
      </sheetData>
      <sheetData sheetId="744"/>
      <sheetData sheetId="745"/>
      <sheetData sheetId="74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hruti Gajjar" id="{9B56B43B-1E46-49B4-9B57-9F05FF53B170}" userId="4eec18b25c347ea2" providerId="Windows Live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ASSAIGNMENT%20STAT(2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ASSAIGNMENT%20STAT(2)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YAN AMIN" refreshedDate="45518.605990277778" createdVersion="8" refreshedVersion="8" minRefreshableVersion="3" recordCount="19" xr:uid="{466CCE9A-0801-4BED-98F1-CCDFB810EC15}">
  <cacheSource type="worksheet">
    <worksheetSource ref="A1:B20" sheet="class 1" r:id="rId2"/>
  </cacheSource>
  <cacheFields count="2">
    <cacheField name="Product Price" numFmtId="0">
      <sharedItems containsSemiMixedTypes="0" containsString="0" containsNumber="1" containsInteger="1" minValue="15" maxValue="147" count="17">
        <n v="15"/>
        <n v="24"/>
        <n v="26"/>
        <n v="31"/>
        <n v="38"/>
        <n v="44"/>
        <n v="58"/>
        <n v="68"/>
        <n v="74"/>
        <n v="77"/>
        <n v="98"/>
        <n v="100"/>
        <n v="103"/>
        <n v="116"/>
        <n v="123"/>
        <n v="127"/>
        <n v="147"/>
      </sharedItems>
      <fieldGroup base="0">
        <rangePr startNum="15" endNum="147" groupInterval="10"/>
        <groupItems count="16">
          <s v="&lt;15"/>
          <s v="15-24"/>
          <s v="25-34"/>
          <s v="35-44"/>
          <s v="45-54"/>
          <s v="55-64"/>
          <s v="65-74"/>
          <s v="75-84"/>
          <s v="85-94"/>
          <s v="95-104"/>
          <s v="105-114"/>
          <s v="115-124"/>
          <s v="125-134"/>
          <s v="135-144"/>
          <s v="145-154"/>
          <s v="&gt;155"/>
        </groupItems>
      </fieldGroup>
    </cacheField>
    <cacheField name="Units Sold" numFmtId="164">
      <sharedItems containsSemiMixedTypes="0" containsString="0" containsNumber="1" containsInteger="1" minValue="4068" maxValue="24462" count="19">
        <n v="19921"/>
        <n v="14771"/>
        <n v="20127"/>
        <n v="22664"/>
        <n v="23284"/>
        <n v="7846"/>
        <n v="10982"/>
        <n v="6921"/>
        <n v="15911"/>
        <n v="4068"/>
        <n v="5799"/>
        <n v="21653"/>
        <n v="17900"/>
        <n v="23728"/>
        <n v="12535"/>
        <n v="24462"/>
        <n v="18836"/>
        <n v="19728"/>
        <n v="213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YAN AMIN" refreshedDate="45518.608905439818" createdVersion="8" refreshedVersion="8" minRefreshableVersion="3" recordCount="22" xr:uid="{C98A7E1C-9D03-457C-BD11-8DD79E8C2075}">
  <cacheSource type="worksheet">
    <worksheetSource ref="A1:B23" sheet="CLASS 2" r:id="rId2"/>
  </cacheSource>
  <cacheFields count="2">
    <cacheField name="Age" numFmtId="0">
      <sharedItems containsSemiMixedTypes="0" containsString="0" containsNumber="1" containsInteger="1" minValue="15" maxValue="72" count="21">
        <n v="15"/>
        <n v="20"/>
        <n v="21"/>
        <n v="22"/>
        <n v="23"/>
        <n v="24"/>
        <n v="26"/>
        <n v="27"/>
        <n v="31"/>
        <n v="35"/>
        <n v="37"/>
        <n v="39"/>
        <n v="47"/>
        <n v="50"/>
        <n v="54"/>
        <n v="56"/>
        <n v="59"/>
        <n v="61"/>
        <n v="63"/>
        <n v="64"/>
        <n v="72"/>
      </sharedItems>
      <fieldGroup base="0">
        <rangePr startNum="15" endNum="72" groupInterval="5"/>
        <groupItems count="14">
          <s v="&lt;15"/>
          <s v="15-19"/>
          <s v="20-24"/>
          <s v="25-29"/>
          <s v="30-34"/>
          <s v="35-39"/>
          <s v="40-44"/>
          <s v="45-49"/>
          <s v="50-54"/>
          <s v="55-59"/>
          <s v="60-64"/>
          <s v="65-69"/>
          <s v="70-74"/>
          <s v="&gt;75"/>
        </groupItems>
      </fieldGroup>
    </cacheField>
    <cacheField name="Amt Spent" numFmtId="164">
      <sharedItems containsSemiMixedTypes="0" containsString="0" containsNumber="1" containsInteger="1" minValue="253027" maxValue="7394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7"/>
    <x v="8"/>
  </r>
  <r>
    <x v="7"/>
    <x v="9"/>
  </r>
  <r>
    <x v="8"/>
    <x v="10"/>
  </r>
  <r>
    <x v="9"/>
    <x v="11"/>
  </r>
  <r>
    <x v="10"/>
    <x v="12"/>
  </r>
  <r>
    <x v="11"/>
    <x v="13"/>
  </r>
  <r>
    <x v="12"/>
    <x v="14"/>
  </r>
  <r>
    <x v="13"/>
    <x v="15"/>
  </r>
  <r>
    <x v="14"/>
    <x v="16"/>
  </r>
  <r>
    <x v="15"/>
    <x v="17"/>
  </r>
  <r>
    <x v="16"/>
    <x v="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n v="671667"/>
  </r>
  <r>
    <x v="1"/>
    <n v="550678"/>
  </r>
  <r>
    <x v="2"/>
    <n v="416766"/>
  </r>
  <r>
    <x v="3"/>
    <n v="406459"/>
  </r>
  <r>
    <x v="4"/>
    <n v="499437"/>
  </r>
  <r>
    <x v="5"/>
    <n v="732936"/>
  </r>
  <r>
    <x v="6"/>
    <n v="464865"/>
  </r>
  <r>
    <x v="7"/>
    <n v="604293"/>
  </r>
  <r>
    <x v="8"/>
    <n v="589009"/>
  </r>
  <r>
    <x v="9"/>
    <n v="253027"/>
  </r>
  <r>
    <x v="10"/>
    <n v="298178"/>
  </r>
  <r>
    <x v="11"/>
    <n v="558344"/>
  </r>
  <r>
    <x v="12"/>
    <n v="314271"/>
  </r>
  <r>
    <x v="13"/>
    <n v="413863"/>
  </r>
  <r>
    <x v="14"/>
    <n v="585986"/>
  </r>
  <r>
    <x v="15"/>
    <n v="739422"/>
  </r>
  <r>
    <x v="16"/>
    <n v="340640"/>
  </r>
  <r>
    <x v="17"/>
    <n v="431349"/>
  </r>
  <r>
    <x v="17"/>
    <n v="476595"/>
  </r>
  <r>
    <x v="18"/>
    <n v="361946"/>
  </r>
  <r>
    <x v="19"/>
    <n v="465280"/>
  </r>
  <r>
    <x v="20"/>
    <n v="5545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767DC2-B5A0-4A70-9585-C36AAC5A78ED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E2:G13" firstHeaderRow="0" firstDataRow="1" firstDataCol="1"/>
  <pivotFields count="2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numFmtId="164" showAll="0"/>
  </pivotFields>
  <rowFields count="1">
    <field x="0"/>
  </rowFields>
  <rowItems count="11">
    <i>
      <x v="1"/>
    </i>
    <i>
      <x v="2"/>
    </i>
    <i>
      <x v="3"/>
    </i>
    <i>
      <x v="5"/>
    </i>
    <i>
      <x v="6"/>
    </i>
    <i>
      <x v="7"/>
    </i>
    <i>
      <x v="9"/>
    </i>
    <i>
      <x v="11"/>
    </i>
    <i>
      <x v="12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 Sold" fld="1" baseField="0" baseItem="0"/>
    <dataField name="Count of Units Sold2" fld="1" subtotal="count" baseField="0" baseItem="9"/>
  </dataFields>
  <formats count="7">
    <format dxfId="14">
      <pivotArea collapsedLevelsAreSubtotals="1" fieldPosition="0">
        <references count="1">
          <reference field="0" count="10">
            <x v="1"/>
            <x v="2"/>
            <x v="3"/>
            <x v="5"/>
            <x v="6"/>
            <x v="7"/>
            <x v="9"/>
            <x v="11"/>
            <x v="12"/>
            <x v="14"/>
          </reference>
        </references>
      </pivotArea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10">
            <x v="1"/>
            <x v="2"/>
            <x v="3"/>
            <x v="5"/>
            <x v="6"/>
            <x v="7"/>
            <x v="9"/>
            <x v="11"/>
            <x v="12"/>
            <x v="14"/>
          </reference>
        </references>
      </pivotArea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">
      <pivotArea dataOnly="0" grandRow="1" fieldPosition="0"/>
    </format>
    <format dxfId="9">
      <pivotArea field="0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5DB81-052E-42DB-809E-B1906AFCFAB0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2:G13" firstHeaderRow="0" firstDataRow="1" firstDataCol="1"/>
  <pivotFields count="2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numFmtId="164" showAll="0"/>
  </pivotFields>
  <rowFields count="1">
    <field x="0"/>
  </rowFields>
  <rowItems count="11"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t Spent" fld="1" baseField="0" baseItem="0"/>
    <dataField name="Count of Amt Spent2" fld="1" subtotal="count" baseField="0" baseItem="8"/>
  </dataFields>
  <formats count="8">
    <format dxfId="0">
      <pivotArea field="0" type="button" dataOnly="0" labelOnly="1" outline="0" axis="axisRow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">
      <pivotArea type="all" dataOnly="0" outline="0" fieldPosition="0"/>
    </format>
    <format dxfId="3">
      <pivotArea outline="0" collapsedLevelsAreSubtotals="1" fieldPosition="0"/>
    </format>
    <format dxfId="4">
      <pivotArea field="0" type="button" dataOnly="0" labelOnly="1" outline="0" axis="axisRow" fieldPosition="0"/>
    </format>
    <format dxfId="5">
      <pivotArea dataOnly="0" labelOnly="1" fieldPosition="0">
        <references count="1">
          <reference field="0" count="10">
            <x v="1"/>
            <x v="2"/>
            <x v="3"/>
            <x v="4"/>
            <x v="5"/>
            <x v="7"/>
            <x v="8"/>
            <x v="9"/>
            <x v="10"/>
            <x v="12"/>
          </reference>
        </references>
      </pivotArea>
    </format>
    <format dxfId="6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5" dT="2024-08-25T05:41:42.52" personId="{9B56B43B-1E46-49B4-9B57-9F05FF53B170}" id="{F3573415-F9B8-4148-8CF3-6D86846AEAA4}">
    <text>Make Pivot Table From Data Given in Sheet  Add Sum of Unit Sold &amp; Count of Unit Sold Column. Make Histogram.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6" dT="2024-08-25T05:50:08.77" personId="{9B56B43B-1E46-49B4-9B57-9F05FF53B170}" id="{FAD06E97-45F3-4625-8FC4-68AAB1C5E0BC}">
    <text>Make Pivot Table From Data Given in Sheet  Add Sum of Unit Sold &amp; Count of Unit Sold Column. Make Histogram.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3" dT="2024-08-25T05:58:13.08" personId="{9B56B43B-1E46-49B4-9B57-9F05FF53B170}" id="{637FAA78-6280-4E34-A60D-F600537C58F6}">
    <text>Select Data tab &gt; Ribbon "Data Analysis" &gt; Analysis Tools &gt; Descriptive Statistic &gt; Select Range "Scores".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I18" dT="2024-08-25T06:08:54.96" personId="{9B56B43B-1E46-49B4-9B57-9F05FF53B170}" id="{38D49DB1-5629-4BB4-8578-F9A7A1E43B75}">
    <text>Apply Descriptive Statistic Formula In Column "Age, Height(Fts), Weight(Kg), Study Hrs, Exam Score.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0" dT="2024-08-25T06:13:22.22" personId="{9B56B43B-1E46-49B4-9B57-9F05FF53B170}" id="{447AF94A-81FF-4E88-A874-9355DFE7D24C}">
    <text>Use Covariance Formula.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10" dT="2024-08-25T06:14:16.16" personId="{9B56B43B-1E46-49B4-9B57-9F05FF53B170}" id="{EB91C037-FD88-42D2-BFFF-9EF8CCFA821F}">
    <text>Use Covariance Formula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8" dT="2024-08-25T06:14:16.16" personId="{9B56B43B-1E46-49B4-9B57-9F05FF53B170}" id="{B4839A6D-3953-4B50-AB9A-E1F5A3917A92}">
    <text>Use Covariance Formula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B7" dT="2024-08-25T06:14:16.16" personId="{9B56B43B-1E46-49B4-9B57-9F05FF53B170}" id="{8725F641-DFE6-42A6-BCC2-92821FE5E682}">
    <text>Use Covariance Formula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K2" dT="2024-08-25T06:14:16.16" personId="{9B56B43B-1E46-49B4-9B57-9F05FF53B170}" id="{342DD40B-E85A-466A-8DA5-9CB3A82EC45E}">
    <text>Use Covariance Formula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F7E25-C2DB-42E5-BB76-FAF7F880D316}">
  <dimension ref="A1:G21"/>
  <sheetViews>
    <sheetView zoomScaleNormal="100" workbookViewId="0">
      <selection activeCell="F21" sqref="F21"/>
    </sheetView>
  </sheetViews>
  <sheetFormatPr defaultRowHeight="14.4" x14ac:dyDescent="0.3"/>
  <cols>
    <col min="1" max="1" width="12.21875" bestFit="1" customWidth="1"/>
    <col min="2" max="2" width="9.44140625" bestFit="1" customWidth="1"/>
    <col min="4" max="4" width="0" hidden="1" customWidth="1"/>
    <col min="5" max="5" width="12.5546875" bestFit="1" customWidth="1"/>
    <col min="6" max="6" width="16" bestFit="1" customWidth="1"/>
    <col min="7" max="7" width="18.44140625" bestFit="1" customWidth="1"/>
  </cols>
  <sheetData>
    <row r="1" spans="1:7" ht="15" thickBot="1" x14ac:dyDescent="0.35"/>
    <row r="2" spans="1:7" ht="15" thickBot="1" x14ac:dyDescent="0.35">
      <c r="A2" s="23" t="s">
        <v>1</v>
      </c>
      <c r="B2" s="24" t="s">
        <v>2</v>
      </c>
      <c r="E2" s="14" t="s">
        <v>4</v>
      </c>
      <c r="F2" s="15" t="s">
        <v>3</v>
      </c>
      <c r="G2" s="16" t="s">
        <v>28</v>
      </c>
    </row>
    <row r="3" spans="1:7" x14ac:dyDescent="0.3">
      <c r="A3" s="17">
        <v>15</v>
      </c>
      <c r="B3" s="18">
        <v>19921</v>
      </c>
      <c r="E3" s="11" t="s">
        <v>6</v>
      </c>
      <c r="F3" s="12">
        <v>34692</v>
      </c>
      <c r="G3" s="13">
        <v>2</v>
      </c>
    </row>
    <row r="4" spans="1:7" x14ac:dyDescent="0.3">
      <c r="A4" s="19">
        <v>24</v>
      </c>
      <c r="B4" s="20">
        <v>14771</v>
      </c>
      <c r="E4" s="3" t="s">
        <v>7</v>
      </c>
      <c r="F4" s="2">
        <v>42791</v>
      </c>
      <c r="G4" s="4">
        <v>2</v>
      </c>
    </row>
    <row r="5" spans="1:7" x14ac:dyDescent="0.3">
      <c r="A5" s="19">
        <v>26</v>
      </c>
      <c r="B5" s="20">
        <v>20127</v>
      </c>
      <c r="E5" s="3" t="s">
        <v>8</v>
      </c>
      <c r="F5" s="2">
        <v>31130</v>
      </c>
      <c r="G5" s="4">
        <v>2</v>
      </c>
    </row>
    <row r="6" spans="1:7" x14ac:dyDescent="0.3">
      <c r="A6" s="19">
        <v>31</v>
      </c>
      <c r="B6" s="20">
        <v>22664</v>
      </c>
      <c r="E6" s="3" t="s">
        <v>9</v>
      </c>
      <c r="F6" s="2">
        <v>10982</v>
      </c>
      <c r="G6" s="4">
        <v>1</v>
      </c>
    </row>
    <row r="7" spans="1:7" x14ac:dyDescent="0.3">
      <c r="A7" s="19">
        <v>38</v>
      </c>
      <c r="B7" s="20">
        <v>23284</v>
      </c>
      <c r="E7" s="3" t="s">
        <v>10</v>
      </c>
      <c r="F7" s="2">
        <v>32699</v>
      </c>
      <c r="G7" s="4">
        <v>4</v>
      </c>
    </row>
    <row r="8" spans="1:7" x14ac:dyDescent="0.3">
      <c r="A8" s="19">
        <v>44</v>
      </c>
      <c r="B8" s="20">
        <v>7846</v>
      </c>
      <c r="E8" s="3" t="s">
        <v>11</v>
      </c>
      <c r="F8" s="2">
        <v>21653</v>
      </c>
      <c r="G8" s="4">
        <v>1</v>
      </c>
    </row>
    <row r="9" spans="1:7" x14ac:dyDescent="0.3">
      <c r="A9" s="19">
        <v>58</v>
      </c>
      <c r="B9" s="20">
        <v>10982</v>
      </c>
      <c r="E9" s="3" t="s">
        <v>12</v>
      </c>
      <c r="F9" s="2">
        <v>54163</v>
      </c>
      <c r="G9" s="4">
        <v>3</v>
      </c>
    </row>
    <row r="10" spans="1:7" x14ac:dyDescent="0.3">
      <c r="A10" s="19">
        <v>68</v>
      </c>
      <c r="B10" s="20">
        <v>6921</v>
      </c>
      <c r="E10" s="3" t="s">
        <v>13</v>
      </c>
      <c r="F10" s="2">
        <v>43298</v>
      </c>
      <c r="G10" s="4">
        <v>2</v>
      </c>
    </row>
    <row r="11" spans="1:7" x14ac:dyDescent="0.3">
      <c r="A11" s="19">
        <v>68</v>
      </c>
      <c r="B11" s="20">
        <v>15911</v>
      </c>
      <c r="E11" s="3" t="s">
        <v>14</v>
      </c>
      <c r="F11" s="2">
        <v>19728</v>
      </c>
      <c r="G11" s="4">
        <v>1</v>
      </c>
    </row>
    <row r="12" spans="1:7" ht="15" thickBot="1" x14ac:dyDescent="0.35">
      <c r="A12" s="19">
        <v>68</v>
      </c>
      <c r="B12" s="20">
        <v>4068</v>
      </c>
      <c r="E12" s="5" t="s">
        <v>15</v>
      </c>
      <c r="F12" s="6">
        <v>21320</v>
      </c>
      <c r="G12" s="7">
        <v>1</v>
      </c>
    </row>
    <row r="13" spans="1:7" ht="15" thickBot="1" x14ac:dyDescent="0.35">
      <c r="A13" s="19">
        <v>74</v>
      </c>
      <c r="B13" s="20">
        <v>5799</v>
      </c>
      <c r="E13" s="8" t="s">
        <v>5</v>
      </c>
      <c r="F13" s="9">
        <v>312456</v>
      </c>
      <c r="G13" s="10">
        <v>19</v>
      </c>
    </row>
    <row r="14" spans="1:7" ht="15" thickBot="1" x14ac:dyDescent="0.35">
      <c r="A14" s="19">
        <v>77</v>
      </c>
      <c r="B14" s="20">
        <v>21653</v>
      </c>
    </row>
    <row r="15" spans="1:7" ht="15" thickBot="1" x14ac:dyDescent="0.35">
      <c r="A15" s="19">
        <v>98</v>
      </c>
      <c r="B15" s="20">
        <v>17900</v>
      </c>
      <c r="E15" s="37"/>
    </row>
    <row r="16" spans="1:7" x14ac:dyDescent="0.3">
      <c r="A16" s="19">
        <v>100</v>
      </c>
      <c r="B16" s="20">
        <v>23728</v>
      </c>
    </row>
    <row r="17" spans="1:2" x14ac:dyDescent="0.3">
      <c r="A17" s="19">
        <v>103</v>
      </c>
      <c r="B17" s="20">
        <v>12535</v>
      </c>
    </row>
    <row r="18" spans="1:2" x14ac:dyDescent="0.3">
      <c r="A18" s="19">
        <v>116</v>
      </c>
      <c r="B18" s="20">
        <v>24462</v>
      </c>
    </row>
    <row r="19" spans="1:2" x14ac:dyDescent="0.3">
      <c r="A19" s="19">
        <v>123</v>
      </c>
      <c r="B19" s="20">
        <v>18836</v>
      </c>
    </row>
    <row r="20" spans="1:2" x14ac:dyDescent="0.3">
      <c r="A20" s="19">
        <v>127</v>
      </c>
      <c r="B20" s="20">
        <v>19728</v>
      </c>
    </row>
    <row r="21" spans="1:2" ht="15" thickBot="1" x14ac:dyDescent="0.35">
      <c r="A21" s="21">
        <v>147</v>
      </c>
      <c r="B21" s="22">
        <v>21320</v>
      </c>
    </row>
  </sheetData>
  <pageMargins left="0.7" right="0.7" top="0.75" bottom="0.75" header="0.3" footer="0.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D824-2841-4638-9FEC-5FFB99A28064}">
  <dimension ref="A1:G24"/>
  <sheetViews>
    <sheetView workbookViewId="0">
      <selection activeCell="F23" sqref="F23"/>
    </sheetView>
  </sheetViews>
  <sheetFormatPr defaultRowHeight="14.4" x14ac:dyDescent="0.3"/>
  <cols>
    <col min="5" max="5" width="12.5546875" bestFit="1" customWidth="1"/>
    <col min="6" max="6" width="16.44140625" bestFit="1" customWidth="1"/>
    <col min="7" max="7" width="18.88671875" bestFit="1" customWidth="1"/>
  </cols>
  <sheetData>
    <row r="1" spans="1:7" ht="15" thickBot="1" x14ac:dyDescent="0.35"/>
    <row r="2" spans="1:7" s="25" customFormat="1" x14ac:dyDescent="0.3">
      <c r="A2" s="33" t="s">
        <v>0</v>
      </c>
      <c r="B2" s="34" t="s">
        <v>16</v>
      </c>
      <c r="E2" s="27" t="s">
        <v>4</v>
      </c>
      <c r="F2" s="28" t="s">
        <v>17</v>
      </c>
      <c r="G2" s="29" t="s">
        <v>29</v>
      </c>
    </row>
    <row r="3" spans="1:7" x14ac:dyDescent="0.3">
      <c r="A3" s="19">
        <v>15</v>
      </c>
      <c r="B3" s="35">
        <v>671667</v>
      </c>
      <c r="E3" s="3" t="s">
        <v>18</v>
      </c>
      <c r="F3" s="26">
        <v>671667</v>
      </c>
      <c r="G3" s="30">
        <v>1</v>
      </c>
    </row>
    <row r="4" spans="1:7" x14ac:dyDescent="0.3">
      <c r="A4" s="19">
        <v>20</v>
      </c>
      <c r="B4" s="35">
        <v>550678</v>
      </c>
      <c r="E4" s="3" t="s">
        <v>19</v>
      </c>
      <c r="F4" s="26">
        <v>2606276</v>
      </c>
      <c r="G4" s="30">
        <v>5</v>
      </c>
    </row>
    <row r="5" spans="1:7" x14ac:dyDescent="0.3">
      <c r="A5" s="19">
        <v>21</v>
      </c>
      <c r="B5" s="35">
        <v>416766</v>
      </c>
      <c r="E5" s="3" t="s">
        <v>20</v>
      </c>
      <c r="F5" s="26">
        <v>1069158</v>
      </c>
      <c r="G5" s="30">
        <v>2</v>
      </c>
    </row>
    <row r="6" spans="1:7" x14ac:dyDescent="0.3">
      <c r="A6" s="19">
        <v>22</v>
      </c>
      <c r="B6" s="35">
        <v>406459</v>
      </c>
      <c r="E6" s="3" t="s">
        <v>21</v>
      </c>
      <c r="F6" s="26">
        <v>589009</v>
      </c>
      <c r="G6" s="30">
        <v>1</v>
      </c>
    </row>
    <row r="7" spans="1:7" x14ac:dyDescent="0.3">
      <c r="A7" s="19">
        <v>23</v>
      </c>
      <c r="B7" s="35">
        <v>499437</v>
      </c>
      <c r="E7" s="3" t="s">
        <v>22</v>
      </c>
      <c r="F7" s="26">
        <v>1109549</v>
      </c>
      <c r="G7" s="30">
        <v>3</v>
      </c>
    </row>
    <row r="8" spans="1:7" x14ac:dyDescent="0.3">
      <c r="A8" s="19">
        <v>24</v>
      </c>
      <c r="B8" s="35">
        <v>732936</v>
      </c>
      <c r="E8" s="3" t="s">
        <v>23</v>
      </c>
      <c r="F8" s="26">
        <v>314271</v>
      </c>
      <c r="G8" s="30">
        <v>1</v>
      </c>
    </row>
    <row r="9" spans="1:7" x14ac:dyDescent="0.3">
      <c r="A9" s="19">
        <v>26</v>
      </c>
      <c r="B9" s="35">
        <v>464865</v>
      </c>
      <c r="E9" s="3" t="s">
        <v>24</v>
      </c>
      <c r="F9" s="26">
        <v>999849</v>
      </c>
      <c r="G9" s="30">
        <v>2</v>
      </c>
    </row>
    <row r="10" spans="1:7" x14ac:dyDescent="0.3">
      <c r="A10" s="19">
        <v>27</v>
      </c>
      <c r="B10" s="35">
        <v>604293</v>
      </c>
      <c r="E10" s="3" t="s">
        <v>25</v>
      </c>
      <c r="F10" s="26">
        <v>1080062</v>
      </c>
      <c r="G10" s="30">
        <v>2</v>
      </c>
    </row>
    <row r="11" spans="1:7" x14ac:dyDescent="0.3">
      <c r="A11" s="19">
        <v>31</v>
      </c>
      <c r="B11" s="35">
        <v>589009</v>
      </c>
      <c r="E11" s="3" t="s">
        <v>26</v>
      </c>
      <c r="F11" s="26">
        <v>1735170</v>
      </c>
      <c r="G11" s="30">
        <v>4</v>
      </c>
    </row>
    <row r="12" spans="1:7" x14ac:dyDescent="0.3">
      <c r="A12" s="19">
        <v>35</v>
      </c>
      <c r="B12" s="35">
        <v>253027</v>
      </c>
      <c r="E12" s="3" t="s">
        <v>27</v>
      </c>
      <c r="F12" s="26">
        <v>554529</v>
      </c>
      <c r="G12" s="30">
        <v>1</v>
      </c>
    </row>
    <row r="13" spans="1:7" ht="15" thickBot="1" x14ac:dyDescent="0.35">
      <c r="A13" s="19">
        <v>37</v>
      </c>
      <c r="B13" s="35">
        <v>298178</v>
      </c>
      <c r="E13" s="5" t="s">
        <v>5</v>
      </c>
      <c r="F13" s="31">
        <v>10729540</v>
      </c>
      <c r="G13" s="32">
        <v>22</v>
      </c>
    </row>
    <row r="14" spans="1:7" x14ac:dyDescent="0.3">
      <c r="A14" s="19">
        <v>39</v>
      </c>
      <c r="B14" s="35">
        <v>558344</v>
      </c>
    </row>
    <row r="15" spans="1:7" ht="15" thickBot="1" x14ac:dyDescent="0.35">
      <c r="A15" s="19">
        <v>47</v>
      </c>
      <c r="B15" s="35">
        <v>314271</v>
      </c>
    </row>
    <row r="16" spans="1:7" ht="15" thickBot="1" x14ac:dyDescent="0.35">
      <c r="A16" s="19">
        <v>50</v>
      </c>
      <c r="B16" s="35">
        <v>413863</v>
      </c>
      <c r="D16" s="37"/>
    </row>
    <row r="17" spans="1:2" x14ac:dyDescent="0.3">
      <c r="A17" s="19">
        <v>54</v>
      </c>
      <c r="B17" s="35">
        <v>585986</v>
      </c>
    </row>
    <row r="18" spans="1:2" x14ac:dyDescent="0.3">
      <c r="A18" s="19">
        <v>56</v>
      </c>
      <c r="B18" s="35">
        <v>739422</v>
      </c>
    </row>
    <row r="19" spans="1:2" x14ac:dyDescent="0.3">
      <c r="A19" s="19">
        <v>59</v>
      </c>
      <c r="B19" s="35">
        <v>340640</v>
      </c>
    </row>
    <row r="20" spans="1:2" x14ac:dyDescent="0.3">
      <c r="A20" s="19">
        <v>61</v>
      </c>
      <c r="B20" s="35">
        <v>431349</v>
      </c>
    </row>
    <row r="21" spans="1:2" x14ac:dyDescent="0.3">
      <c r="A21" s="19">
        <v>61</v>
      </c>
      <c r="B21" s="35">
        <v>476595</v>
      </c>
    </row>
    <row r="22" spans="1:2" x14ac:dyDescent="0.3">
      <c r="A22" s="19">
        <v>63</v>
      </c>
      <c r="B22" s="35">
        <v>361946</v>
      </c>
    </row>
    <row r="23" spans="1:2" x14ac:dyDescent="0.3">
      <c r="A23" s="19">
        <v>64</v>
      </c>
      <c r="B23" s="35">
        <v>465280</v>
      </c>
    </row>
    <row r="24" spans="1:2" ht="15" thickBot="1" x14ac:dyDescent="0.35">
      <c r="A24" s="21">
        <v>72</v>
      </c>
      <c r="B24" s="36">
        <v>554529</v>
      </c>
    </row>
  </sheetData>
  <pageMargins left="0.7" right="0.7" top="0.75" bottom="0.75" header="0.3" footer="0.3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067D-5D4B-40BB-815F-53060D274AC0}">
  <dimension ref="A1:G16"/>
  <sheetViews>
    <sheetView workbookViewId="0">
      <selection activeCell="H15" sqref="H15"/>
    </sheetView>
  </sheetViews>
  <sheetFormatPr defaultRowHeight="14.4" x14ac:dyDescent="0.3"/>
  <cols>
    <col min="4" max="4" width="16.5546875" bestFit="1" customWidth="1"/>
  </cols>
  <sheetData>
    <row r="1" spans="1:7" ht="15" thickBot="1" x14ac:dyDescent="0.35"/>
    <row r="2" spans="1:7" ht="21" customHeight="1" thickBot="1" x14ac:dyDescent="0.35">
      <c r="A2" s="39" t="s">
        <v>30</v>
      </c>
      <c r="B2" s="39" t="s">
        <v>31</v>
      </c>
      <c r="D2" s="40" t="s">
        <v>31</v>
      </c>
      <c r="E2" s="41"/>
    </row>
    <row r="3" spans="1:7" ht="15" thickBot="1" x14ac:dyDescent="0.35">
      <c r="A3" s="38" t="s">
        <v>32</v>
      </c>
      <c r="B3" s="38">
        <v>72</v>
      </c>
      <c r="D3" s="42"/>
      <c r="E3" s="43"/>
      <c r="G3" s="37"/>
    </row>
    <row r="4" spans="1:7" x14ac:dyDescent="0.3">
      <c r="A4" s="38" t="s">
        <v>33</v>
      </c>
      <c r="B4" s="38">
        <v>91</v>
      </c>
      <c r="D4" s="44" t="s">
        <v>42</v>
      </c>
      <c r="E4" s="45">
        <v>70.2</v>
      </c>
    </row>
    <row r="5" spans="1:7" x14ac:dyDescent="0.3">
      <c r="A5" s="38" t="s">
        <v>34</v>
      </c>
      <c r="B5" s="38">
        <v>77</v>
      </c>
      <c r="D5" s="44" t="s">
        <v>43</v>
      </c>
      <c r="E5" s="45">
        <v>5.0504125244049769</v>
      </c>
    </row>
    <row r="6" spans="1:7" x14ac:dyDescent="0.3">
      <c r="A6" s="38" t="s">
        <v>35</v>
      </c>
      <c r="B6" s="38">
        <v>80</v>
      </c>
      <c r="D6" s="44" t="s">
        <v>44</v>
      </c>
      <c r="E6" s="45">
        <v>74.5</v>
      </c>
    </row>
    <row r="7" spans="1:7" x14ac:dyDescent="0.3">
      <c r="A7" s="38" t="s">
        <v>36</v>
      </c>
      <c r="B7" s="38">
        <v>72</v>
      </c>
      <c r="D7" s="44" t="s">
        <v>45</v>
      </c>
      <c r="E7" s="45">
        <v>72</v>
      </c>
    </row>
    <row r="8" spans="1:7" x14ac:dyDescent="0.3">
      <c r="A8" s="38" t="s">
        <v>37</v>
      </c>
      <c r="B8" s="38">
        <v>46</v>
      </c>
      <c r="D8" s="44" t="s">
        <v>46</v>
      </c>
      <c r="E8" s="45">
        <v>15.970806700560448</v>
      </c>
    </row>
    <row r="9" spans="1:7" x14ac:dyDescent="0.3">
      <c r="A9" s="38" t="s">
        <v>38</v>
      </c>
      <c r="B9" s="38">
        <v>81</v>
      </c>
      <c r="D9" s="44" t="s">
        <v>47</v>
      </c>
      <c r="E9" s="45">
        <v>255.06666666666649</v>
      </c>
    </row>
    <row r="10" spans="1:7" x14ac:dyDescent="0.3">
      <c r="A10" s="38" t="s">
        <v>39</v>
      </c>
      <c r="B10" s="38">
        <v>54</v>
      </c>
      <c r="D10" s="44" t="s">
        <v>48</v>
      </c>
      <c r="E10" s="45">
        <v>-1.0052701658895584</v>
      </c>
    </row>
    <row r="11" spans="1:7" x14ac:dyDescent="0.3">
      <c r="A11" s="38" t="s">
        <v>40</v>
      </c>
      <c r="B11" s="38">
        <v>83</v>
      </c>
      <c r="D11" s="44" t="s">
        <v>49</v>
      </c>
      <c r="E11" s="45">
        <v>-0.64689384930959848</v>
      </c>
    </row>
    <row r="12" spans="1:7" x14ac:dyDescent="0.3">
      <c r="A12" s="38" t="s">
        <v>41</v>
      </c>
      <c r="B12" s="38">
        <v>46</v>
      </c>
      <c r="D12" s="44" t="s">
        <v>50</v>
      </c>
      <c r="E12" s="45">
        <v>45</v>
      </c>
    </row>
    <row r="13" spans="1:7" x14ac:dyDescent="0.3">
      <c r="D13" s="44" t="s">
        <v>51</v>
      </c>
      <c r="E13" s="45">
        <v>46</v>
      </c>
    </row>
    <row r="14" spans="1:7" x14ac:dyDescent="0.3">
      <c r="D14" s="44" t="s">
        <v>52</v>
      </c>
      <c r="E14" s="45">
        <v>91</v>
      </c>
    </row>
    <row r="15" spans="1:7" x14ac:dyDescent="0.3">
      <c r="D15" s="44" t="s">
        <v>53</v>
      </c>
      <c r="E15" s="45">
        <v>702</v>
      </c>
    </row>
    <row r="16" spans="1:7" ht="15" thickBot="1" x14ac:dyDescent="0.35">
      <c r="D16" s="46" t="s">
        <v>54</v>
      </c>
      <c r="E16" s="47">
        <v>10</v>
      </c>
    </row>
  </sheetData>
  <mergeCells count="1">
    <mergeCell ref="D2:E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64AC-C1C1-4676-A046-1F9E2569A18F}">
  <dimension ref="A1:R27"/>
  <sheetViews>
    <sheetView workbookViewId="0">
      <selection activeCell="J23" sqref="J23"/>
    </sheetView>
  </sheetViews>
  <sheetFormatPr defaultRowHeight="14.4" x14ac:dyDescent="0.3"/>
  <cols>
    <col min="9" max="9" width="16.5546875" bestFit="1" customWidth="1"/>
    <col min="11" max="11" width="16.5546875" bestFit="1" customWidth="1"/>
    <col min="13" max="13" width="16.5546875" bestFit="1" customWidth="1"/>
    <col min="15" max="15" width="16.5546875" bestFit="1" customWidth="1"/>
    <col min="17" max="17" width="16.5546875" bestFit="1" customWidth="1"/>
  </cols>
  <sheetData>
    <row r="1" spans="1:18" ht="15" thickBot="1" x14ac:dyDescent="0.35"/>
    <row r="2" spans="1:18" ht="28.8" x14ac:dyDescent="0.3">
      <c r="A2" s="49" t="s">
        <v>55</v>
      </c>
      <c r="B2" s="49" t="s">
        <v>56</v>
      </c>
      <c r="C2" s="49" t="s">
        <v>0</v>
      </c>
      <c r="D2" s="49" t="s">
        <v>57</v>
      </c>
      <c r="E2" s="49" t="s">
        <v>58</v>
      </c>
      <c r="F2" s="49" t="s">
        <v>59</v>
      </c>
      <c r="G2" s="49" t="s">
        <v>60</v>
      </c>
      <c r="I2" s="40" t="s">
        <v>0</v>
      </c>
      <c r="J2" s="41"/>
      <c r="K2" s="50" t="s">
        <v>57</v>
      </c>
      <c r="L2" s="51"/>
      <c r="M2" s="50" t="s">
        <v>58</v>
      </c>
      <c r="N2" s="51"/>
      <c r="O2" s="50" t="s">
        <v>59</v>
      </c>
      <c r="P2" s="51"/>
      <c r="Q2" s="50" t="s">
        <v>60</v>
      </c>
      <c r="R2" s="51"/>
    </row>
    <row r="3" spans="1:18" ht="15" thickBot="1" x14ac:dyDescent="0.35">
      <c r="A3" s="1" t="s">
        <v>61</v>
      </c>
      <c r="B3" s="1" t="s">
        <v>62</v>
      </c>
      <c r="C3" s="1">
        <v>24</v>
      </c>
      <c r="D3" s="48">
        <v>4.6432281762926753</v>
      </c>
      <c r="E3" s="1">
        <v>52</v>
      </c>
      <c r="F3" s="1">
        <v>6</v>
      </c>
      <c r="G3" s="1">
        <v>46</v>
      </c>
      <c r="I3" s="54"/>
      <c r="J3" s="55"/>
      <c r="K3" s="56"/>
      <c r="L3" s="57"/>
      <c r="M3" s="56"/>
      <c r="N3" s="57"/>
      <c r="O3" s="56"/>
      <c r="P3" s="57"/>
      <c r="Q3" s="56"/>
      <c r="R3" s="57"/>
    </row>
    <row r="4" spans="1:18" x14ac:dyDescent="0.3">
      <c r="A4" s="1" t="s">
        <v>63</v>
      </c>
      <c r="B4" s="1" t="s">
        <v>62</v>
      </c>
      <c r="C4" s="1">
        <v>26</v>
      </c>
      <c r="D4" s="48">
        <v>4.3405815174507669</v>
      </c>
      <c r="E4" s="1">
        <v>85</v>
      </c>
      <c r="F4" s="1">
        <v>8</v>
      </c>
      <c r="G4" s="1">
        <v>47</v>
      </c>
      <c r="I4" s="52" t="s">
        <v>42</v>
      </c>
      <c r="J4" s="53">
        <v>26.64</v>
      </c>
      <c r="K4" s="52" t="s">
        <v>42</v>
      </c>
      <c r="L4" s="53">
        <v>5.244237493091811</v>
      </c>
      <c r="M4" s="52" t="s">
        <v>42</v>
      </c>
      <c r="N4" s="53">
        <v>67.44</v>
      </c>
      <c r="O4" s="52" t="s">
        <v>42</v>
      </c>
      <c r="P4" s="53">
        <v>9.36</v>
      </c>
      <c r="Q4" s="52" t="s">
        <v>42</v>
      </c>
      <c r="R4" s="53">
        <v>57.8</v>
      </c>
    </row>
    <row r="5" spans="1:18" x14ac:dyDescent="0.3">
      <c r="A5" s="1" t="s">
        <v>64</v>
      </c>
      <c r="B5" s="1" t="s">
        <v>62</v>
      </c>
      <c r="C5" s="1">
        <v>26</v>
      </c>
      <c r="D5" s="48">
        <v>4.5645578756766882</v>
      </c>
      <c r="E5" s="1">
        <v>68</v>
      </c>
      <c r="F5" s="1">
        <v>11</v>
      </c>
      <c r="G5" s="1">
        <v>42</v>
      </c>
      <c r="I5" s="44" t="s">
        <v>43</v>
      </c>
      <c r="J5" s="45">
        <v>0.59966657402259571</v>
      </c>
      <c r="K5" s="44" t="s">
        <v>43</v>
      </c>
      <c r="L5" s="45">
        <v>0.16901441618022264</v>
      </c>
      <c r="M5" s="44" t="s">
        <v>43</v>
      </c>
      <c r="N5" s="45">
        <v>2.7453475796942977</v>
      </c>
      <c r="O5" s="44" t="s">
        <v>43</v>
      </c>
      <c r="P5" s="45">
        <v>0.41182520563948044</v>
      </c>
      <c r="Q5" s="44" t="s">
        <v>43</v>
      </c>
      <c r="R5" s="45">
        <v>3.5364765892999586</v>
      </c>
    </row>
    <row r="6" spans="1:18" x14ac:dyDescent="0.3">
      <c r="A6" s="1" t="s">
        <v>65</v>
      </c>
      <c r="B6" s="1" t="s">
        <v>62</v>
      </c>
      <c r="C6" s="1">
        <v>23</v>
      </c>
      <c r="D6" s="48">
        <v>6.1686043959565167</v>
      </c>
      <c r="E6" s="1">
        <v>82</v>
      </c>
      <c r="F6" s="1">
        <v>11</v>
      </c>
      <c r="G6" s="1">
        <v>40</v>
      </c>
      <c r="I6" s="44" t="s">
        <v>44</v>
      </c>
      <c r="J6" s="45">
        <v>26</v>
      </c>
      <c r="K6" s="44" t="s">
        <v>44</v>
      </c>
      <c r="L6" s="45">
        <v>5.3264682954125684</v>
      </c>
      <c r="M6" s="44" t="s">
        <v>44</v>
      </c>
      <c r="N6" s="45">
        <v>66</v>
      </c>
      <c r="O6" s="44" t="s">
        <v>44</v>
      </c>
      <c r="P6" s="45">
        <v>9</v>
      </c>
      <c r="Q6" s="44" t="s">
        <v>44</v>
      </c>
      <c r="R6" s="45">
        <v>55</v>
      </c>
    </row>
    <row r="7" spans="1:18" x14ac:dyDescent="0.3">
      <c r="A7" s="1" t="s">
        <v>66</v>
      </c>
      <c r="B7" s="1" t="s">
        <v>62</v>
      </c>
      <c r="C7" s="1">
        <v>27</v>
      </c>
      <c r="D7" s="48">
        <v>4.3506934242283704</v>
      </c>
      <c r="E7" s="1">
        <v>88</v>
      </c>
      <c r="F7" s="1">
        <v>12</v>
      </c>
      <c r="G7" s="1">
        <v>30</v>
      </c>
      <c r="I7" s="44" t="s">
        <v>45</v>
      </c>
      <c r="J7" s="45">
        <v>26</v>
      </c>
      <c r="K7" s="44" t="s">
        <v>45</v>
      </c>
      <c r="L7" s="45" t="e">
        <v>#N/A</v>
      </c>
      <c r="M7" s="44" t="s">
        <v>45</v>
      </c>
      <c r="N7" s="45">
        <v>52</v>
      </c>
      <c r="O7" s="44" t="s">
        <v>45</v>
      </c>
      <c r="P7" s="45">
        <v>8</v>
      </c>
      <c r="Q7" s="44" t="s">
        <v>45</v>
      </c>
      <c r="R7" s="45">
        <v>56</v>
      </c>
    </row>
    <row r="8" spans="1:18" x14ac:dyDescent="0.3">
      <c r="A8" s="1" t="s">
        <v>67</v>
      </c>
      <c r="B8" s="1" t="s">
        <v>62</v>
      </c>
      <c r="C8" s="1">
        <v>32</v>
      </c>
      <c r="D8" s="48">
        <v>5.3264682954125684</v>
      </c>
      <c r="E8" s="1">
        <v>60</v>
      </c>
      <c r="F8" s="1">
        <v>7</v>
      </c>
      <c r="G8" s="1">
        <v>62</v>
      </c>
      <c r="I8" s="44" t="s">
        <v>46</v>
      </c>
      <c r="J8" s="45">
        <v>2.9983328701129786</v>
      </c>
      <c r="K8" s="44" t="s">
        <v>46</v>
      </c>
      <c r="L8" s="45">
        <v>0.84507208090111319</v>
      </c>
      <c r="M8" s="44" t="s">
        <v>46</v>
      </c>
      <c r="N8" s="45">
        <v>13.726737898471489</v>
      </c>
      <c r="O8" s="44" t="s">
        <v>46</v>
      </c>
      <c r="P8" s="45">
        <v>2.0591260281974022</v>
      </c>
      <c r="Q8" s="44" t="s">
        <v>46</v>
      </c>
      <c r="R8" s="45">
        <v>17.682382946499793</v>
      </c>
    </row>
    <row r="9" spans="1:18" x14ac:dyDescent="0.3">
      <c r="A9" s="1" t="s">
        <v>68</v>
      </c>
      <c r="B9" s="1" t="s">
        <v>69</v>
      </c>
      <c r="C9" s="1">
        <v>27</v>
      </c>
      <c r="D9" s="48">
        <v>6.4383360025098053</v>
      </c>
      <c r="E9" s="1">
        <v>85</v>
      </c>
      <c r="F9" s="1">
        <v>8</v>
      </c>
      <c r="G9" s="1">
        <v>83</v>
      </c>
      <c r="I9" s="44" t="s">
        <v>47</v>
      </c>
      <c r="J9" s="45">
        <v>8.9899999999999327</v>
      </c>
      <c r="K9" s="44" t="s">
        <v>47</v>
      </c>
      <c r="L9" s="45">
        <v>0.71414682191853751</v>
      </c>
      <c r="M9" s="44" t="s">
        <v>47</v>
      </c>
      <c r="N9" s="45">
        <v>188.42333333333349</v>
      </c>
      <c r="O9" s="44" t="s">
        <v>47</v>
      </c>
      <c r="P9" s="45">
        <v>4.2400000000000091</v>
      </c>
      <c r="Q9" s="44" t="s">
        <v>47</v>
      </c>
      <c r="R9" s="45">
        <v>312.66666666666669</v>
      </c>
    </row>
    <row r="10" spans="1:18" x14ac:dyDescent="0.3">
      <c r="A10" s="1" t="s">
        <v>70</v>
      </c>
      <c r="B10" s="1" t="s">
        <v>69</v>
      </c>
      <c r="C10" s="1">
        <v>22</v>
      </c>
      <c r="D10" s="48">
        <v>5.9823762503874764</v>
      </c>
      <c r="E10" s="1">
        <v>50</v>
      </c>
      <c r="F10" s="1">
        <v>9</v>
      </c>
      <c r="G10" s="1">
        <v>48</v>
      </c>
      <c r="I10" s="44" t="s">
        <v>48</v>
      </c>
      <c r="J10" s="45">
        <v>-0.4044961949428596</v>
      </c>
      <c r="K10" s="44" t="s">
        <v>48</v>
      </c>
      <c r="L10" s="45">
        <v>-1.5172610845251862</v>
      </c>
      <c r="M10" s="44" t="s">
        <v>48</v>
      </c>
      <c r="N10" s="45">
        <v>-1.4772811864394071</v>
      </c>
      <c r="O10" s="44" t="s">
        <v>48</v>
      </c>
      <c r="P10" s="45">
        <v>-1.4654116778789783</v>
      </c>
      <c r="Q10" s="44" t="s">
        <v>48</v>
      </c>
      <c r="R10" s="45">
        <v>3.4883171348398356E-2</v>
      </c>
    </row>
    <row r="11" spans="1:18" x14ac:dyDescent="0.3">
      <c r="A11" s="1" t="s">
        <v>71</v>
      </c>
      <c r="B11" s="1" t="s">
        <v>69</v>
      </c>
      <c r="C11" s="1">
        <v>26</v>
      </c>
      <c r="D11" s="48">
        <v>5.7383831004764918</v>
      </c>
      <c r="E11" s="1">
        <v>64</v>
      </c>
      <c r="F11" s="1">
        <v>12</v>
      </c>
      <c r="G11" s="1">
        <v>95</v>
      </c>
      <c r="I11" s="44" t="s">
        <v>49</v>
      </c>
      <c r="J11" s="45">
        <v>0.61022771370485307</v>
      </c>
      <c r="K11" s="44" t="s">
        <v>49</v>
      </c>
      <c r="L11" s="45">
        <v>8.3790392380241108E-2</v>
      </c>
      <c r="M11" s="44" t="s">
        <v>49</v>
      </c>
      <c r="N11" s="45">
        <v>0.17299721539837748</v>
      </c>
      <c r="O11" s="44" t="s">
        <v>49</v>
      </c>
      <c r="P11" s="45">
        <v>-6.2597740411354838E-2</v>
      </c>
      <c r="Q11" s="44" t="s">
        <v>49</v>
      </c>
      <c r="R11" s="45">
        <v>0.77533280796353121</v>
      </c>
    </row>
    <row r="12" spans="1:18" x14ac:dyDescent="0.3">
      <c r="A12" s="1" t="s">
        <v>72</v>
      </c>
      <c r="B12" s="1" t="s">
        <v>62</v>
      </c>
      <c r="C12" s="1">
        <v>25</v>
      </c>
      <c r="D12" s="48">
        <v>4.6160387549832116</v>
      </c>
      <c r="E12" s="1">
        <v>59</v>
      </c>
      <c r="F12" s="1">
        <v>8</v>
      </c>
      <c r="G12" s="1">
        <v>56</v>
      </c>
      <c r="I12" s="44" t="s">
        <v>50</v>
      </c>
      <c r="J12" s="45">
        <v>10</v>
      </c>
      <c r="K12" s="44" t="s">
        <v>50</v>
      </c>
      <c r="L12" s="45">
        <v>2.5423899090839752</v>
      </c>
      <c r="M12" s="44" t="s">
        <v>50</v>
      </c>
      <c r="N12" s="45">
        <v>39</v>
      </c>
      <c r="O12" s="44" t="s">
        <v>50</v>
      </c>
      <c r="P12" s="45">
        <v>6</v>
      </c>
      <c r="Q12" s="44" t="s">
        <v>50</v>
      </c>
      <c r="R12" s="45">
        <v>65</v>
      </c>
    </row>
    <row r="13" spans="1:18" x14ac:dyDescent="0.3">
      <c r="A13" s="1" t="s">
        <v>73</v>
      </c>
      <c r="B13" s="1" t="s">
        <v>62</v>
      </c>
      <c r="C13" s="1">
        <v>27</v>
      </c>
      <c r="D13" s="48">
        <v>6.2549647614193997</v>
      </c>
      <c r="E13" s="1">
        <v>57</v>
      </c>
      <c r="F13" s="1">
        <v>11</v>
      </c>
      <c r="G13" s="1">
        <v>47</v>
      </c>
      <c r="I13" s="44" t="s">
        <v>51</v>
      </c>
      <c r="J13" s="45">
        <v>22</v>
      </c>
      <c r="K13" s="44" t="s">
        <v>51</v>
      </c>
      <c r="L13" s="45">
        <v>4.0860704520931739</v>
      </c>
      <c r="M13" s="44" t="s">
        <v>51</v>
      </c>
      <c r="N13" s="45">
        <v>49</v>
      </c>
      <c r="O13" s="44" t="s">
        <v>51</v>
      </c>
      <c r="P13" s="45">
        <v>6</v>
      </c>
      <c r="Q13" s="44" t="s">
        <v>51</v>
      </c>
      <c r="R13" s="45">
        <v>30</v>
      </c>
    </row>
    <row r="14" spans="1:18" x14ac:dyDescent="0.3">
      <c r="A14" s="1" t="s">
        <v>74</v>
      </c>
      <c r="B14" s="1" t="s">
        <v>62</v>
      </c>
      <c r="C14" s="1">
        <v>26</v>
      </c>
      <c r="D14" s="48">
        <v>4.9271535452143365</v>
      </c>
      <c r="E14" s="1">
        <v>66</v>
      </c>
      <c r="F14" s="1">
        <v>12</v>
      </c>
      <c r="G14" s="1">
        <v>56</v>
      </c>
      <c r="I14" s="44" t="s">
        <v>52</v>
      </c>
      <c r="J14" s="45">
        <v>32</v>
      </c>
      <c r="K14" s="44" t="s">
        <v>52</v>
      </c>
      <c r="L14" s="45">
        <v>6.6284603611771491</v>
      </c>
      <c r="M14" s="44" t="s">
        <v>52</v>
      </c>
      <c r="N14" s="45">
        <v>88</v>
      </c>
      <c r="O14" s="44" t="s">
        <v>52</v>
      </c>
      <c r="P14" s="45">
        <v>12</v>
      </c>
      <c r="Q14" s="44" t="s">
        <v>52</v>
      </c>
      <c r="R14" s="45">
        <v>95</v>
      </c>
    </row>
    <row r="15" spans="1:18" x14ac:dyDescent="0.3">
      <c r="A15" s="1" t="s">
        <v>75</v>
      </c>
      <c r="B15" s="1" t="s">
        <v>62</v>
      </c>
      <c r="C15" s="1">
        <v>25</v>
      </c>
      <c r="D15" s="48">
        <v>5.4660760075900026</v>
      </c>
      <c r="E15" s="1">
        <v>79</v>
      </c>
      <c r="F15" s="1">
        <v>9</v>
      </c>
      <c r="G15" s="1">
        <v>55</v>
      </c>
      <c r="I15" s="44" t="s">
        <v>53</v>
      </c>
      <c r="J15" s="45">
        <v>666</v>
      </c>
      <c r="K15" s="44" t="s">
        <v>53</v>
      </c>
      <c r="L15" s="45">
        <v>131.10593732729527</v>
      </c>
      <c r="M15" s="44" t="s">
        <v>53</v>
      </c>
      <c r="N15" s="45">
        <v>1686</v>
      </c>
      <c r="O15" s="44" t="s">
        <v>53</v>
      </c>
      <c r="P15" s="45">
        <v>234</v>
      </c>
      <c r="Q15" s="44" t="s">
        <v>53</v>
      </c>
      <c r="R15" s="45">
        <v>1445</v>
      </c>
    </row>
    <row r="16" spans="1:18" ht="15" thickBot="1" x14ac:dyDescent="0.35">
      <c r="A16" s="1" t="s">
        <v>76</v>
      </c>
      <c r="B16" s="1" t="s">
        <v>62</v>
      </c>
      <c r="C16" s="1">
        <v>30</v>
      </c>
      <c r="D16" s="48">
        <v>4.4881750050910414</v>
      </c>
      <c r="E16" s="1">
        <v>52</v>
      </c>
      <c r="F16" s="1">
        <v>11</v>
      </c>
      <c r="G16" s="1">
        <v>86</v>
      </c>
      <c r="I16" s="46" t="s">
        <v>54</v>
      </c>
      <c r="J16" s="47">
        <v>25</v>
      </c>
      <c r="K16" s="46" t="s">
        <v>54</v>
      </c>
      <c r="L16" s="47">
        <v>25</v>
      </c>
      <c r="M16" s="46" t="s">
        <v>54</v>
      </c>
      <c r="N16" s="47">
        <v>25</v>
      </c>
      <c r="O16" s="46" t="s">
        <v>54</v>
      </c>
      <c r="P16" s="47">
        <v>25</v>
      </c>
      <c r="Q16" s="46" t="s">
        <v>54</v>
      </c>
      <c r="R16" s="47">
        <v>25</v>
      </c>
    </row>
    <row r="17" spans="1:9" ht="15" thickBot="1" x14ac:dyDescent="0.35">
      <c r="A17" s="1" t="s">
        <v>77</v>
      </c>
      <c r="B17" s="1" t="s">
        <v>69</v>
      </c>
      <c r="C17" s="1">
        <v>23</v>
      </c>
      <c r="D17" s="48">
        <v>6.2945486242194617</v>
      </c>
      <c r="E17" s="1">
        <v>76</v>
      </c>
      <c r="F17" s="1">
        <v>11</v>
      </c>
      <c r="G17" s="1">
        <v>32</v>
      </c>
    </row>
    <row r="18" spans="1:9" ht="15" thickBot="1" x14ac:dyDescent="0.35">
      <c r="A18" s="1" t="s">
        <v>78</v>
      </c>
      <c r="B18" s="1" t="s">
        <v>69</v>
      </c>
      <c r="C18" s="1">
        <v>25</v>
      </c>
      <c r="D18" s="48">
        <v>5.0037297648567076</v>
      </c>
      <c r="E18" s="1">
        <v>59</v>
      </c>
      <c r="F18" s="1">
        <v>9</v>
      </c>
      <c r="G18" s="1">
        <v>69</v>
      </c>
      <c r="I18" s="37"/>
    </row>
    <row r="19" spans="1:9" x14ac:dyDescent="0.3">
      <c r="A19" s="1" t="s">
        <v>79</v>
      </c>
      <c r="B19" s="1" t="s">
        <v>69</v>
      </c>
      <c r="C19" s="1">
        <v>32</v>
      </c>
      <c r="D19" s="48">
        <v>4.0860704520931739</v>
      </c>
      <c r="E19" s="1">
        <v>88</v>
      </c>
      <c r="F19" s="1">
        <v>12</v>
      </c>
      <c r="G19" s="1">
        <v>47</v>
      </c>
    </row>
    <row r="20" spans="1:9" x14ac:dyDescent="0.3">
      <c r="A20" s="1" t="s">
        <v>80</v>
      </c>
      <c r="B20" s="1" t="s">
        <v>69</v>
      </c>
      <c r="C20" s="1">
        <v>23</v>
      </c>
      <c r="D20" s="48">
        <v>6.097502876141939</v>
      </c>
      <c r="E20" s="1">
        <v>50</v>
      </c>
      <c r="F20" s="1">
        <v>8</v>
      </c>
      <c r="G20" s="1">
        <v>65</v>
      </c>
    </row>
    <row r="21" spans="1:9" x14ac:dyDescent="0.3">
      <c r="A21" s="1" t="s">
        <v>81</v>
      </c>
      <c r="B21" s="1" t="s">
        <v>69</v>
      </c>
      <c r="C21" s="1">
        <v>32</v>
      </c>
      <c r="D21" s="48">
        <v>6.0609585620060251</v>
      </c>
      <c r="E21" s="1">
        <v>77</v>
      </c>
      <c r="F21" s="1">
        <v>8</v>
      </c>
      <c r="G21" s="1">
        <v>77</v>
      </c>
    </row>
    <row r="22" spans="1:9" x14ac:dyDescent="0.3">
      <c r="A22" s="1" t="s">
        <v>82</v>
      </c>
      <c r="B22" s="1" t="s">
        <v>62</v>
      </c>
      <c r="C22" s="1">
        <v>32</v>
      </c>
      <c r="D22" s="48">
        <v>5.4348976448877977</v>
      </c>
      <c r="E22" s="1">
        <v>73</v>
      </c>
      <c r="F22" s="1">
        <v>11</v>
      </c>
      <c r="G22" s="1">
        <v>56</v>
      </c>
    </row>
    <row r="23" spans="1:9" x14ac:dyDescent="0.3">
      <c r="A23" s="1" t="s">
        <v>83</v>
      </c>
      <c r="B23" s="1" t="s">
        <v>62</v>
      </c>
      <c r="C23" s="1">
        <v>24</v>
      </c>
      <c r="D23" s="48">
        <v>4.2905042271543739</v>
      </c>
      <c r="E23" s="1">
        <v>49</v>
      </c>
      <c r="F23" s="1">
        <v>8</v>
      </c>
      <c r="G23" s="1">
        <v>95</v>
      </c>
    </row>
    <row r="24" spans="1:9" x14ac:dyDescent="0.3">
      <c r="A24" s="1" t="s">
        <v>84</v>
      </c>
      <c r="B24" s="1" t="s">
        <v>62</v>
      </c>
      <c r="C24" s="1">
        <v>28</v>
      </c>
      <c r="D24" s="48">
        <v>4.0892859435718307</v>
      </c>
      <c r="E24" s="1">
        <v>56</v>
      </c>
      <c r="F24" s="1">
        <v>6</v>
      </c>
      <c r="G24" s="1">
        <v>49</v>
      </c>
    </row>
    <row r="25" spans="1:9" x14ac:dyDescent="0.3">
      <c r="A25" s="1" t="s">
        <v>85</v>
      </c>
      <c r="B25" s="1" t="s">
        <v>62</v>
      </c>
      <c r="C25" s="1">
        <v>27</v>
      </c>
      <c r="D25" s="48">
        <v>5.6710465091574873</v>
      </c>
      <c r="E25" s="1">
        <v>72</v>
      </c>
      <c r="F25" s="1">
        <v>12</v>
      </c>
      <c r="G25" s="1">
        <v>56</v>
      </c>
    </row>
    <row r="26" spans="1:9" x14ac:dyDescent="0.3">
      <c r="A26" s="1" t="s">
        <v>86</v>
      </c>
      <c r="B26" s="1" t="s">
        <v>62</v>
      </c>
      <c r="C26" s="1">
        <v>28</v>
      </c>
      <c r="D26" s="48">
        <v>6.6284603611771491</v>
      </c>
      <c r="E26" s="1">
        <v>87</v>
      </c>
      <c r="F26" s="1">
        <v>7</v>
      </c>
      <c r="G26" s="1">
        <v>51</v>
      </c>
    </row>
    <row r="27" spans="1:9" x14ac:dyDescent="0.3">
      <c r="A27" s="1" t="s">
        <v>87</v>
      </c>
      <c r="B27" s="1" t="s">
        <v>62</v>
      </c>
      <c r="C27" s="1">
        <v>26</v>
      </c>
      <c r="D27" s="48">
        <v>4.1432952493399684</v>
      </c>
      <c r="E27" s="1">
        <v>52</v>
      </c>
      <c r="F27" s="1">
        <v>7</v>
      </c>
      <c r="G27" s="1">
        <v>55</v>
      </c>
    </row>
  </sheetData>
  <mergeCells count="5">
    <mergeCell ref="I2:J3"/>
    <mergeCell ref="Q2:R3"/>
    <mergeCell ref="O2:P3"/>
    <mergeCell ref="M2:N3"/>
    <mergeCell ref="K2:L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BA55-66AF-4814-BA68-F791D8861BC4}">
  <dimension ref="A2:J10"/>
  <sheetViews>
    <sheetView workbookViewId="0">
      <selection activeCell="B10" sqref="B10"/>
    </sheetView>
  </sheetViews>
  <sheetFormatPr defaultRowHeight="14.4" x14ac:dyDescent="0.3"/>
  <sheetData>
    <row r="2" spans="1:10" x14ac:dyDescent="0.3">
      <c r="A2" s="58" t="s">
        <v>88</v>
      </c>
      <c r="B2" s="58"/>
      <c r="C2" s="58"/>
      <c r="D2" s="58"/>
      <c r="F2" s="58" t="s">
        <v>93</v>
      </c>
      <c r="G2" s="58"/>
      <c r="H2" s="58"/>
      <c r="I2" s="58"/>
      <c r="J2" s="58"/>
    </row>
    <row r="3" spans="1:10" x14ac:dyDescent="0.3">
      <c r="A3" s="59" t="s">
        <v>89</v>
      </c>
      <c r="B3" s="59" t="s">
        <v>90</v>
      </c>
      <c r="C3" s="59" t="s">
        <v>91</v>
      </c>
      <c r="D3" s="59" t="s">
        <v>92</v>
      </c>
      <c r="F3" s="62"/>
      <c r="G3" s="62" t="s">
        <v>89</v>
      </c>
      <c r="H3" s="62" t="s">
        <v>90</v>
      </c>
      <c r="I3" s="62" t="s">
        <v>91</v>
      </c>
      <c r="J3" s="62" t="s">
        <v>92</v>
      </c>
    </row>
    <row r="4" spans="1:10" x14ac:dyDescent="0.3">
      <c r="A4" s="60">
        <v>151.91999999999999</v>
      </c>
      <c r="B4" s="60">
        <v>100.05</v>
      </c>
      <c r="C4" s="60">
        <v>100.77</v>
      </c>
      <c r="D4" s="60">
        <v>266.73</v>
      </c>
      <c r="F4" t="s">
        <v>89</v>
      </c>
      <c r="G4">
        <f>VARP([1]CovMat_Example!$A$4:$A$8)</f>
        <v>64.958904000000047</v>
      </c>
    </row>
    <row r="5" spans="1:10" x14ac:dyDescent="0.3">
      <c r="A5" s="61">
        <v>174.38</v>
      </c>
      <c r="B5" s="61">
        <v>111.51</v>
      </c>
      <c r="C5" s="61">
        <v>111.65</v>
      </c>
      <c r="D5" s="61">
        <v>277.14</v>
      </c>
      <c r="F5" t="s">
        <v>90</v>
      </c>
      <c r="G5">
        <v>42.221988000000053</v>
      </c>
      <c r="H5">
        <f>VARP([1]CovMat_Example!$B$4:$B$8)</f>
        <v>69.538015999999999</v>
      </c>
    </row>
    <row r="6" spans="1:10" x14ac:dyDescent="0.3">
      <c r="A6" s="61">
        <v>161.22</v>
      </c>
      <c r="B6" s="61">
        <v>120.11</v>
      </c>
      <c r="C6" s="61">
        <v>110.18</v>
      </c>
      <c r="D6" s="61">
        <v>289.49</v>
      </c>
      <c r="F6" t="s">
        <v>91</v>
      </c>
      <c r="G6">
        <v>41.749612000000035</v>
      </c>
      <c r="H6">
        <v>46.408204000000026</v>
      </c>
      <c r="I6">
        <f>VARP([1]CovMat_Example!$C$4:$C$8)</f>
        <v>63.362375999999983</v>
      </c>
    </row>
    <row r="7" spans="1:10" ht="15" thickBot="1" x14ac:dyDescent="0.35">
      <c r="A7" s="61">
        <v>162.29</v>
      </c>
      <c r="B7" s="61">
        <v>110.23</v>
      </c>
      <c r="C7" s="61">
        <v>120.27</v>
      </c>
      <c r="D7" s="61">
        <v>286.77</v>
      </c>
      <c r="F7" s="63" t="s">
        <v>92</v>
      </c>
      <c r="G7" s="63">
        <v>12.863339999999988</v>
      </c>
      <c r="H7" s="63">
        <v>36.817780000000056</v>
      </c>
      <c r="I7" s="63">
        <v>30.142460000000007</v>
      </c>
      <c r="J7" s="63">
        <f>VARP([1]CovMat_Example!$D$4:$D$8)</f>
        <v>66.357879999999867</v>
      </c>
    </row>
    <row r="8" spans="1:10" x14ac:dyDescent="0.3">
      <c r="A8" s="61">
        <v>171.81</v>
      </c>
      <c r="B8" s="61">
        <v>123.94</v>
      </c>
      <c r="C8" s="61">
        <v>123.24</v>
      </c>
      <c r="D8" s="61">
        <v>276.22000000000003</v>
      </c>
    </row>
    <row r="9" spans="1:10" ht="15" thickBot="1" x14ac:dyDescent="0.35"/>
    <row r="10" spans="1:10" ht="15" thickBot="1" x14ac:dyDescent="0.35">
      <c r="B10" s="37"/>
    </row>
  </sheetData>
  <mergeCells count="2">
    <mergeCell ref="A2:D2"/>
    <mergeCell ref="F2:J2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81851-E3CC-4285-8C77-DFB572988EF8}">
  <dimension ref="A2:I10"/>
  <sheetViews>
    <sheetView tabSelected="1" workbookViewId="0">
      <selection activeCell="O23" sqref="O23"/>
    </sheetView>
  </sheetViews>
  <sheetFormatPr defaultRowHeight="14.4" x14ac:dyDescent="0.3"/>
  <sheetData>
    <row r="2" spans="1:9" ht="15" thickBot="1" x14ac:dyDescent="0.35">
      <c r="A2" s="58" t="s">
        <v>94</v>
      </c>
      <c r="B2" s="64" t="s">
        <v>95</v>
      </c>
      <c r="C2" s="65"/>
      <c r="D2" s="66"/>
      <c r="F2" s="58" t="s">
        <v>93</v>
      </c>
      <c r="G2" s="58"/>
      <c r="H2" s="58"/>
      <c r="I2" s="58"/>
    </row>
    <row r="3" spans="1:9" x14ac:dyDescent="0.3">
      <c r="A3" s="58"/>
      <c r="B3" s="59" t="s">
        <v>96</v>
      </c>
      <c r="C3" s="59" t="s">
        <v>97</v>
      </c>
      <c r="D3" s="59" t="s">
        <v>98</v>
      </c>
      <c r="F3" s="67"/>
      <c r="G3" s="67" t="s">
        <v>96</v>
      </c>
      <c r="H3" s="67" t="s">
        <v>97</v>
      </c>
      <c r="I3" s="67" t="s">
        <v>98</v>
      </c>
    </row>
    <row r="4" spans="1:9" x14ac:dyDescent="0.3">
      <c r="A4" s="38">
        <v>1</v>
      </c>
      <c r="B4" s="68">
        <v>98</v>
      </c>
      <c r="C4" s="68">
        <v>99</v>
      </c>
      <c r="D4" s="68">
        <v>75</v>
      </c>
      <c r="F4" t="s">
        <v>96</v>
      </c>
      <c r="G4">
        <f>VARP([1]CovMat_Use!$B$4:$B$8)</f>
        <v>58.96</v>
      </c>
    </row>
    <row r="5" spans="1:9" x14ac:dyDescent="0.3">
      <c r="A5" s="38">
        <v>2</v>
      </c>
      <c r="B5" s="69">
        <v>80</v>
      </c>
      <c r="C5" s="69">
        <v>85</v>
      </c>
      <c r="D5" s="69">
        <v>100</v>
      </c>
      <c r="F5" t="s">
        <v>97</v>
      </c>
      <c r="G5">
        <v>57.2</v>
      </c>
      <c r="H5">
        <f>VARP([1]CovMat_Use!$C$4:$C$8)</f>
        <v>72.8</v>
      </c>
    </row>
    <row r="6" spans="1:9" ht="15" thickBot="1" x14ac:dyDescent="0.35">
      <c r="A6" s="38">
        <v>3</v>
      </c>
      <c r="B6" s="69">
        <v>87</v>
      </c>
      <c r="C6" s="69">
        <v>83</v>
      </c>
      <c r="D6" s="69">
        <v>91</v>
      </c>
      <c r="F6" s="63" t="s">
        <v>98</v>
      </c>
      <c r="G6" s="63">
        <v>-22.999999999999993</v>
      </c>
      <c r="H6" s="63">
        <v>-12.4</v>
      </c>
      <c r="I6" s="63">
        <f>VARP([1]CovMat_Use!$D$4:$D$8)</f>
        <v>84.4</v>
      </c>
    </row>
    <row r="7" spans="1:9" x14ac:dyDescent="0.3">
      <c r="A7" s="38">
        <v>4</v>
      </c>
      <c r="B7" s="69">
        <v>95</v>
      </c>
      <c r="C7" s="69">
        <v>90</v>
      </c>
      <c r="D7" s="69">
        <v>94</v>
      </c>
    </row>
    <row r="8" spans="1:9" x14ac:dyDescent="0.3">
      <c r="A8" s="38">
        <v>5</v>
      </c>
      <c r="B8" s="69">
        <v>79</v>
      </c>
      <c r="C8" s="69">
        <v>73</v>
      </c>
      <c r="D8" s="69">
        <v>80</v>
      </c>
    </row>
    <row r="9" spans="1:9" ht="15" thickBot="1" x14ac:dyDescent="0.35"/>
    <row r="10" spans="1:9" ht="15" thickBot="1" x14ac:dyDescent="0.35">
      <c r="A10" s="37"/>
    </row>
  </sheetData>
  <mergeCells count="3">
    <mergeCell ref="A2:A3"/>
    <mergeCell ref="B2:D2"/>
    <mergeCell ref="F2:I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DC874-278A-475B-938C-6BF6B5E20BBD}">
  <dimension ref="A2:I13"/>
  <sheetViews>
    <sheetView workbookViewId="0">
      <selection activeCell="F8" sqref="F8"/>
    </sheetView>
  </sheetViews>
  <sheetFormatPr defaultRowHeight="14.4" x14ac:dyDescent="0.3"/>
  <sheetData>
    <row r="2" spans="1:9" ht="15" thickBot="1" x14ac:dyDescent="0.35">
      <c r="A2" s="58" t="s">
        <v>99</v>
      </c>
      <c r="B2" s="64" t="s">
        <v>100</v>
      </c>
      <c r="C2" s="65"/>
      <c r="D2" s="66"/>
      <c r="F2" s="58" t="s">
        <v>93</v>
      </c>
      <c r="G2" s="58"/>
      <c r="H2" s="58"/>
      <c r="I2" s="58"/>
    </row>
    <row r="3" spans="1:9" x14ac:dyDescent="0.3">
      <c r="A3" s="58"/>
      <c r="B3" s="59" t="s">
        <v>0</v>
      </c>
      <c r="C3" s="59" t="s">
        <v>101</v>
      </c>
      <c r="D3" s="59" t="s">
        <v>102</v>
      </c>
      <c r="F3" s="67"/>
      <c r="G3" s="67" t="s">
        <v>0</v>
      </c>
      <c r="H3" s="67" t="s">
        <v>101</v>
      </c>
      <c r="I3" s="67" t="s">
        <v>102</v>
      </c>
    </row>
    <row r="4" spans="1:9" x14ac:dyDescent="0.3">
      <c r="A4" s="38" t="s">
        <v>103</v>
      </c>
      <c r="B4" s="68">
        <v>40</v>
      </c>
      <c r="C4" s="68">
        <v>63</v>
      </c>
      <c r="D4" s="68">
        <v>161</v>
      </c>
      <c r="F4" t="s">
        <v>0</v>
      </c>
      <c r="G4">
        <f>VARP('[1]CovMat_Example 1'!$B$4:$B$13)</f>
        <v>13.05</v>
      </c>
    </row>
    <row r="5" spans="1:9" x14ac:dyDescent="0.3">
      <c r="A5" s="38" t="s">
        <v>104</v>
      </c>
      <c r="B5" s="68">
        <v>35</v>
      </c>
      <c r="C5" s="68">
        <v>59</v>
      </c>
      <c r="D5" s="68">
        <v>159</v>
      </c>
      <c r="F5" t="s">
        <v>101</v>
      </c>
      <c r="G5">
        <v>7.95</v>
      </c>
      <c r="H5">
        <f>VARP('[1]CovMat_Example 1'!$C$4:$C$13)</f>
        <v>21.65</v>
      </c>
    </row>
    <row r="6" spans="1:9" ht="15" thickBot="1" x14ac:dyDescent="0.35">
      <c r="A6" s="38" t="s">
        <v>105</v>
      </c>
      <c r="B6" s="68">
        <v>39</v>
      </c>
      <c r="C6" s="68">
        <v>64</v>
      </c>
      <c r="D6" s="68">
        <v>163</v>
      </c>
      <c r="F6" s="63" t="s">
        <v>102</v>
      </c>
      <c r="G6" s="63">
        <v>7.85</v>
      </c>
      <c r="H6" s="63">
        <v>19.05</v>
      </c>
      <c r="I6" s="63">
        <f>VARP('[1]CovMat_Example 1'!$D$4:$D$13)</f>
        <v>17.850000000000001</v>
      </c>
    </row>
    <row r="7" spans="1:9" ht="15" thickBot="1" x14ac:dyDescent="0.35">
      <c r="A7" s="38" t="s">
        <v>106</v>
      </c>
      <c r="B7" s="68">
        <v>32</v>
      </c>
      <c r="C7" s="68">
        <v>69</v>
      </c>
      <c r="D7" s="68">
        <v>165</v>
      </c>
    </row>
    <row r="8" spans="1:9" ht="15" thickBot="1" x14ac:dyDescent="0.35">
      <c r="A8" s="38" t="s">
        <v>107</v>
      </c>
      <c r="B8" s="68">
        <v>33</v>
      </c>
      <c r="C8" s="68">
        <v>60</v>
      </c>
      <c r="D8" s="68">
        <v>160</v>
      </c>
      <c r="F8" s="37"/>
    </row>
    <row r="9" spans="1:9" x14ac:dyDescent="0.3">
      <c r="A9" s="38" t="s">
        <v>108</v>
      </c>
      <c r="B9" s="68">
        <v>30</v>
      </c>
      <c r="C9" s="68">
        <v>55</v>
      </c>
      <c r="D9" s="68">
        <v>155</v>
      </c>
    </row>
    <row r="10" spans="1:9" x14ac:dyDescent="0.3">
      <c r="A10" s="38" t="s">
        <v>109</v>
      </c>
      <c r="B10" s="68">
        <v>31</v>
      </c>
      <c r="C10" s="68">
        <v>61</v>
      </c>
      <c r="D10" s="68">
        <v>160</v>
      </c>
    </row>
    <row r="11" spans="1:9" x14ac:dyDescent="0.3">
      <c r="A11" s="38" t="s">
        <v>110</v>
      </c>
      <c r="B11" s="68">
        <v>40</v>
      </c>
      <c r="C11" s="68">
        <v>65</v>
      </c>
      <c r="D11" s="68">
        <v>164</v>
      </c>
    </row>
    <row r="12" spans="1:9" x14ac:dyDescent="0.3">
      <c r="A12" s="38" t="s">
        <v>111</v>
      </c>
      <c r="B12" s="68">
        <v>38</v>
      </c>
      <c r="C12" s="68">
        <v>69</v>
      </c>
      <c r="D12" s="68">
        <v>168</v>
      </c>
    </row>
    <row r="13" spans="1:9" x14ac:dyDescent="0.3">
      <c r="A13" s="38" t="s">
        <v>112</v>
      </c>
      <c r="B13" s="68">
        <v>37</v>
      </c>
      <c r="C13" s="68">
        <v>70</v>
      </c>
      <c r="D13" s="68">
        <v>170</v>
      </c>
    </row>
  </sheetData>
  <mergeCells count="3">
    <mergeCell ref="A2:A3"/>
    <mergeCell ref="B2:D2"/>
    <mergeCell ref="F2:I2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78C2F-6F62-44A3-8DCF-68CECF6939AC}">
  <dimension ref="A2:L7"/>
  <sheetViews>
    <sheetView workbookViewId="0">
      <selection activeCell="B7" sqref="B7"/>
    </sheetView>
  </sheetViews>
  <sheetFormatPr defaultRowHeight="14.4" x14ac:dyDescent="0.3"/>
  <cols>
    <col min="11" max="11" width="16.33203125" bestFit="1" customWidth="1"/>
    <col min="12" max="12" width="16.21875" bestFit="1" customWidth="1"/>
  </cols>
  <sheetData>
    <row r="2" spans="1:12" ht="15" thickBot="1" x14ac:dyDescent="0.35">
      <c r="C2" s="58" t="s">
        <v>113</v>
      </c>
      <c r="D2" s="58"/>
      <c r="E2" s="58"/>
      <c r="F2" s="58"/>
      <c r="G2" s="58"/>
      <c r="H2" s="58"/>
      <c r="J2" s="64" t="s">
        <v>93</v>
      </c>
      <c r="K2" s="65"/>
      <c r="L2" s="66"/>
    </row>
    <row r="3" spans="1:12" x14ac:dyDescent="0.3">
      <c r="C3" s="59">
        <v>2015</v>
      </c>
      <c r="D3" s="59">
        <v>2016</v>
      </c>
      <c r="E3" s="59">
        <v>2017</v>
      </c>
      <c r="F3" s="59">
        <v>2018</v>
      </c>
      <c r="G3" s="59">
        <v>2019</v>
      </c>
      <c r="H3" s="59">
        <v>2020</v>
      </c>
      <c r="J3" s="67"/>
      <c r="K3" s="67" t="s">
        <v>114</v>
      </c>
      <c r="L3" s="67" t="s">
        <v>115</v>
      </c>
    </row>
    <row r="4" spans="1:12" x14ac:dyDescent="0.3">
      <c r="A4" s="70" t="s">
        <v>116</v>
      </c>
      <c r="B4" s="59" t="s">
        <v>114</v>
      </c>
      <c r="C4" s="71">
        <v>8.5000000000000006E-2</v>
      </c>
      <c r="D4" s="71">
        <v>9.9000000000000005E-2</v>
      </c>
      <c r="E4" s="71">
        <v>9.5000000000000001E-2</v>
      </c>
      <c r="F4" s="71">
        <v>7.85E-2</v>
      </c>
      <c r="G4" s="71">
        <v>6.9800000000000001E-2</v>
      </c>
      <c r="H4" s="71">
        <v>8.8800000000000004E-2</v>
      </c>
      <c r="J4" t="s">
        <v>114</v>
      </c>
      <c r="K4">
        <f>VARP('[1]CovMat_Example 2'!$C$3:$H$3)</f>
        <v>9.6254722222222704E-5</v>
      </c>
    </row>
    <row r="5" spans="1:12" ht="15" thickBot="1" x14ac:dyDescent="0.35">
      <c r="A5" s="70"/>
      <c r="B5" s="59" t="s">
        <v>115</v>
      </c>
      <c r="C5" s="71">
        <v>6.4500000000000002E-2</v>
      </c>
      <c r="D5" s="71">
        <v>8.3400000000000002E-2</v>
      </c>
      <c r="E5" s="71">
        <v>9.5500000000000002E-2</v>
      </c>
      <c r="F5" s="71">
        <v>6.3100000000000003E-2</v>
      </c>
      <c r="G5" s="71">
        <v>7.1400000000000005E-2</v>
      </c>
      <c r="H5" s="71">
        <v>5.8200000000000002E-2</v>
      </c>
      <c r="J5" s="63" t="s">
        <v>115</v>
      </c>
      <c r="K5" s="63">
        <v>6.7493611111111096E-5</v>
      </c>
      <c r="L5" s="63">
        <f>VARP('[1]CovMat_Example 2'!$C$4:$H$4)</f>
        <v>1.6761138888888829E-4</v>
      </c>
    </row>
    <row r="6" spans="1:12" ht="15" thickBot="1" x14ac:dyDescent="0.35"/>
    <row r="7" spans="1:12" ht="15" thickBot="1" x14ac:dyDescent="0.35">
      <c r="B7" s="37"/>
    </row>
  </sheetData>
  <mergeCells count="3">
    <mergeCell ref="C2:H2"/>
    <mergeCell ref="J2:L2"/>
    <mergeCell ref="A4:A5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C3A69-2B18-43E5-85DB-AE8CCB2C0908}">
  <dimension ref="A1:K15"/>
  <sheetViews>
    <sheetView workbookViewId="0">
      <selection activeCell="L8" sqref="L8"/>
    </sheetView>
  </sheetViews>
  <sheetFormatPr defaultRowHeight="14.4" x14ac:dyDescent="0.3"/>
  <sheetData>
    <row r="1" spans="1:11" ht="15" thickBot="1" x14ac:dyDescent="0.35">
      <c r="A1" s="58" t="s">
        <v>117</v>
      </c>
      <c r="B1" s="58"/>
      <c r="C1" s="58"/>
      <c r="E1" s="64" t="s">
        <v>118</v>
      </c>
      <c r="F1" s="65"/>
      <c r="G1" s="65"/>
      <c r="H1" s="65"/>
      <c r="I1" s="66"/>
    </row>
    <row r="2" spans="1:11" ht="15" thickBot="1" x14ac:dyDescent="0.35">
      <c r="A2" s="59" t="s">
        <v>119</v>
      </c>
      <c r="B2" s="59" t="s">
        <v>120</v>
      </c>
      <c r="C2" s="59" t="s">
        <v>121</v>
      </c>
      <c r="E2" s="59" t="s">
        <v>122</v>
      </c>
      <c r="F2" s="72">
        <f>AVERAGE(A3:A7)</f>
        <v>21.2</v>
      </c>
      <c r="G2" s="73" t="s">
        <v>123</v>
      </c>
      <c r="H2" s="59" t="s">
        <v>124</v>
      </c>
      <c r="I2" s="59" t="s">
        <v>125</v>
      </c>
      <c r="K2" s="37"/>
    </row>
    <row r="3" spans="1:11" x14ac:dyDescent="0.3">
      <c r="A3" s="68">
        <v>10</v>
      </c>
      <c r="B3" s="68">
        <v>14</v>
      </c>
      <c r="C3" s="68">
        <v>38</v>
      </c>
      <c r="E3" s="59" t="s">
        <v>126</v>
      </c>
      <c r="F3" s="72">
        <f>AVERAGE(B3:B7)</f>
        <v>29</v>
      </c>
      <c r="G3" s="74">
        <f>A3-$F$2</f>
        <v>-11.2</v>
      </c>
      <c r="H3" s="74">
        <f>B3-$F$3</f>
        <v>-15</v>
      </c>
      <c r="I3" s="74">
        <f>C3-$F$4</f>
        <v>9.3999999999999986</v>
      </c>
    </row>
    <row r="4" spans="1:11" x14ac:dyDescent="0.3">
      <c r="A4" s="69">
        <v>25</v>
      </c>
      <c r="B4" s="69">
        <v>29</v>
      </c>
      <c r="C4" s="69">
        <v>27</v>
      </c>
      <c r="E4" s="59" t="s">
        <v>127</v>
      </c>
      <c r="F4" s="69">
        <f>AVERAGE(C3:C7)</f>
        <v>28.6</v>
      </c>
      <c r="G4" s="74">
        <f>A4-$F$2</f>
        <v>3.8000000000000007</v>
      </c>
      <c r="H4" s="74">
        <f>B4-$F$3</f>
        <v>0</v>
      </c>
      <c r="I4" s="74">
        <f>C4-$F$4</f>
        <v>-1.6000000000000014</v>
      </c>
    </row>
    <row r="5" spans="1:11" x14ac:dyDescent="0.3">
      <c r="A5" s="69">
        <v>15</v>
      </c>
      <c r="B5" s="69">
        <v>33</v>
      </c>
      <c r="C5" s="69">
        <v>21</v>
      </c>
      <c r="E5" s="59" t="s">
        <v>128</v>
      </c>
      <c r="F5" s="1">
        <v>5</v>
      </c>
      <c r="G5" s="74">
        <f>A5-$F$2</f>
        <v>-6.1999999999999993</v>
      </c>
      <c r="H5" s="74">
        <f>B5-$F$3</f>
        <v>4</v>
      </c>
      <c r="I5" s="74">
        <f>C5-$F$4</f>
        <v>-7.6000000000000014</v>
      </c>
    </row>
    <row r="6" spans="1:11" x14ac:dyDescent="0.3">
      <c r="A6" s="69">
        <v>23</v>
      </c>
      <c r="B6" s="69">
        <v>41</v>
      </c>
      <c r="C6" s="69">
        <v>35</v>
      </c>
      <c r="G6" s="74">
        <f>A6-$F$2</f>
        <v>1.8000000000000007</v>
      </c>
      <c r="H6" s="74">
        <f>B6-$F$3</f>
        <v>12</v>
      </c>
      <c r="I6" s="74">
        <f>C6-$F$4</f>
        <v>6.3999999999999986</v>
      </c>
    </row>
    <row r="7" spans="1:11" x14ac:dyDescent="0.3">
      <c r="A7" s="69">
        <v>33</v>
      </c>
      <c r="B7" s="69">
        <v>28</v>
      </c>
      <c r="C7" s="69">
        <v>22</v>
      </c>
      <c r="G7" s="74">
        <f>A7-$F$2</f>
        <v>11.8</v>
      </c>
      <c r="H7" s="74">
        <f>B7-$F$3</f>
        <v>-1</v>
      </c>
      <c r="I7" s="74">
        <f>C7-$F$4</f>
        <v>-6.6000000000000014</v>
      </c>
    </row>
    <row r="10" spans="1:11" ht="15" thickBot="1" x14ac:dyDescent="0.35">
      <c r="A10" s="58" t="s">
        <v>129</v>
      </c>
      <c r="B10" s="58"/>
      <c r="C10" s="58"/>
      <c r="D10" s="58"/>
      <c r="F10" s="58" t="s">
        <v>130</v>
      </c>
      <c r="G10" s="58"/>
      <c r="H10" s="58"/>
      <c r="I10" s="58"/>
    </row>
    <row r="11" spans="1:11" x14ac:dyDescent="0.3">
      <c r="A11" s="67"/>
      <c r="B11" s="67" t="s">
        <v>119</v>
      </c>
      <c r="C11" s="67" t="s">
        <v>120</v>
      </c>
      <c r="D11" s="67" t="s">
        <v>121</v>
      </c>
      <c r="F11" s="67"/>
      <c r="G11" s="67" t="s">
        <v>119</v>
      </c>
      <c r="H11" s="67" t="s">
        <v>120</v>
      </c>
      <c r="I11" s="67" t="s">
        <v>121</v>
      </c>
    </row>
    <row r="12" spans="1:11" x14ac:dyDescent="0.3">
      <c r="A12" t="s">
        <v>119</v>
      </c>
      <c r="B12" s="75">
        <f>VARP('[1]CovMat_Example 3'!$A$3:$A$7)</f>
        <v>64.16</v>
      </c>
      <c r="C12" s="75"/>
      <c r="D12" s="75"/>
      <c r="F12" t="s">
        <v>119</v>
      </c>
      <c r="G12" s="76">
        <f>(G3*G3+G4*G4+G5*G5+G6*G6+G7*G7)/F5</f>
        <v>64.16</v>
      </c>
      <c r="H12" s="76">
        <f>(G3*H3+G4*H4+G5*H5+G6*H6+G7*H8)/F5</f>
        <v>32.96</v>
      </c>
      <c r="I12" s="76">
        <f>(G3*I3+G4*I4+G5*I5+G6*I6+G7*I7)/F5</f>
        <v>-26.119999999999997</v>
      </c>
    </row>
    <row r="13" spans="1:11" x14ac:dyDescent="0.3">
      <c r="A13" t="s">
        <v>120</v>
      </c>
      <c r="B13" s="75">
        <v>30.6</v>
      </c>
      <c r="C13" s="75">
        <f>VARP('[1]CovMat_Example 3'!$B$3:$B$7)</f>
        <v>77.2</v>
      </c>
      <c r="D13" s="75"/>
      <c r="F13" t="s">
        <v>120</v>
      </c>
      <c r="G13" s="76">
        <f>(G3*H3+G4*H4+G5*H5+G6*H6+G7*H7)/F5</f>
        <v>30.6</v>
      </c>
      <c r="H13" s="76">
        <f>(H3*H3+H4*H4+H5*H5+H6*H6+H7*H7)/F5</f>
        <v>77.2</v>
      </c>
      <c r="I13" s="76">
        <f>(H3*I3+H4*I4+H5*I5+H6*I6+H7*I7)/F5</f>
        <v>-17.600000000000001</v>
      </c>
    </row>
    <row r="14" spans="1:11" ht="15" thickBot="1" x14ac:dyDescent="0.35">
      <c r="A14" s="63" t="s">
        <v>121</v>
      </c>
      <c r="B14" s="77">
        <v>-26.119999999999997</v>
      </c>
      <c r="C14" s="77">
        <v>-17.600000000000001</v>
      </c>
      <c r="D14" s="77">
        <f>VARP('[1]CovMat_Example 3'!$C$3:$C$7)</f>
        <v>46.64</v>
      </c>
      <c r="F14" t="s">
        <v>121</v>
      </c>
      <c r="G14" s="76">
        <f>(G3*I3+G4*I4+G5*I5+G6*I6+G7*I7)/F5</f>
        <v>-26.119999999999997</v>
      </c>
      <c r="H14" s="78">
        <f>(H3*I3+H4*I4+H5*I5+H6*I6+H7*I7)/F5</f>
        <v>-17.600000000000001</v>
      </c>
      <c r="I14" s="78">
        <f>(I3*I3+I4*I4+I5*I5+I6*I6+I7*I7)/F5</f>
        <v>46.64</v>
      </c>
    </row>
    <row r="15" spans="1:11" x14ac:dyDescent="0.3">
      <c r="F15" s="79"/>
      <c r="G15" s="79"/>
      <c r="H15" s="79"/>
      <c r="I15" s="79"/>
    </row>
  </sheetData>
  <mergeCells count="4">
    <mergeCell ref="A1:C1"/>
    <mergeCell ref="E1:I1"/>
    <mergeCell ref="A10:D10"/>
    <mergeCell ref="F10:I10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AA4F8-0402-40C4-97B4-9D7DBCCF4EB8}">
  <dimension ref="A2:I15"/>
  <sheetViews>
    <sheetView workbookViewId="0">
      <selection activeCell="G15" sqref="G15"/>
    </sheetView>
  </sheetViews>
  <sheetFormatPr defaultRowHeight="14.4" x14ac:dyDescent="0.3"/>
  <cols>
    <col min="1" max="1" width="10.33203125" bestFit="1" customWidth="1"/>
  </cols>
  <sheetData>
    <row r="2" spans="1:9" ht="15" thickBot="1" x14ac:dyDescent="0.35">
      <c r="A2" s="58" t="s">
        <v>131</v>
      </c>
      <c r="B2" s="64" t="s">
        <v>132</v>
      </c>
      <c r="C2" s="65"/>
      <c r="D2" s="66"/>
      <c r="F2" s="58" t="s">
        <v>93</v>
      </c>
      <c r="G2" s="58"/>
      <c r="H2" s="58"/>
      <c r="I2" s="58"/>
    </row>
    <row r="3" spans="1:9" x14ac:dyDescent="0.3">
      <c r="A3" s="58"/>
      <c r="B3" s="59" t="s">
        <v>133</v>
      </c>
      <c r="C3" s="59" t="s">
        <v>134</v>
      </c>
      <c r="D3" s="59" t="s">
        <v>135</v>
      </c>
      <c r="F3" s="67"/>
      <c r="G3" s="67" t="s">
        <v>133</v>
      </c>
      <c r="H3" s="67" t="s">
        <v>134</v>
      </c>
      <c r="I3" s="67" t="s">
        <v>135</v>
      </c>
    </row>
    <row r="4" spans="1:9" ht="15" thickBot="1" x14ac:dyDescent="0.35">
      <c r="A4" s="80">
        <v>44835</v>
      </c>
      <c r="B4" s="81">
        <v>9.5399999999999999E-2</v>
      </c>
      <c r="C4" s="81">
        <v>9.98E-2</v>
      </c>
      <c r="D4" s="81">
        <v>8.3299999999999999E-2</v>
      </c>
      <c r="F4" t="s">
        <v>133</v>
      </c>
      <c r="G4">
        <f>VARP([1]CovMat_FAQ!$B$4:$B$8)</f>
        <v>6.6849895999999999E-3</v>
      </c>
      <c r="H4">
        <v>3.4547694000000005E-3</v>
      </c>
      <c r="I4" s="63">
        <v>2.5162404E-3</v>
      </c>
    </row>
    <row r="5" spans="1:9" ht="15" thickBot="1" x14ac:dyDescent="0.35">
      <c r="A5" s="80">
        <v>44836</v>
      </c>
      <c r="B5" s="81">
        <v>3.2800000000000003E-2</v>
      </c>
      <c r="C5" s="81">
        <v>4.2950000000000002E-2</v>
      </c>
      <c r="D5" s="81">
        <v>5.9200000000000003E-2</v>
      </c>
      <c r="F5" t="s">
        <v>134</v>
      </c>
      <c r="G5">
        <v>3.4547694000000005E-3</v>
      </c>
      <c r="H5">
        <f>VARP([1]CovMat_FAQ!$C$4:$C$8)</f>
        <v>1.8764855999999985E-3</v>
      </c>
      <c r="I5" s="63">
        <v>1.4883396E-3</v>
      </c>
    </row>
    <row r="6" spans="1:9" ht="15" thickBot="1" x14ac:dyDescent="0.35">
      <c r="A6" s="80">
        <v>44837</v>
      </c>
      <c r="B6" s="81">
        <v>-6.6299999999999998E-2</v>
      </c>
      <c r="C6" s="81">
        <v>1.84E-2</v>
      </c>
      <c r="D6" s="81">
        <v>9.3799999999999994E-2</v>
      </c>
      <c r="F6" s="63" t="s">
        <v>135</v>
      </c>
      <c r="G6" s="63">
        <v>2.5162404E-3</v>
      </c>
      <c r="H6" s="63">
        <v>1.4883396E-3</v>
      </c>
      <c r="I6" s="63">
        <f>VARP([1]CovMat_FAQ!$D$4:$D$8)</f>
        <v>2.3724776000000002E-3</v>
      </c>
    </row>
    <row r="7" spans="1:9" x14ac:dyDescent="0.3">
      <c r="A7" s="80">
        <v>44838</v>
      </c>
      <c r="B7" s="81">
        <v>7.85E-2</v>
      </c>
      <c r="C7" s="81">
        <v>8.2600000000000007E-2</v>
      </c>
      <c r="D7" s="81">
        <v>7.2700000000000001E-2</v>
      </c>
    </row>
    <row r="8" spans="1:9" x14ac:dyDescent="0.3">
      <c r="A8" s="80">
        <v>44839</v>
      </c>
      <c r="B8" s="81">
        <v>0.1835</v>
      </c>
      <c r="C8" s="81">
        <v>0.1421</v>
      </c>
      <c r="D8" s="81">
        <v>0.1956</v>
      </c>
    </row>
    <row r="9" spans="1:9" ht="15" thickBot="1" x14ac:dyDescent="0.35">
      <c r="F9" s="58" t="s">
        <v>136</v>
      </c>
      <c r="G9" s="58"/>
      <c r="H9" s="58"/>
      <c r="I9" s="58"/>
    </row>
    <row r="10" spans="1:9" x14ac:dyDescent="0.3">
      <c r="A10" s="59" t="s">
        <v>137</v>
      </c>
      <c r="B10" s="38">
        <v>5</v>
      </c>
      <c r="F10" s="67"/>
      <c r="G10" s="67" t="s">
        <v>133</v>
      </c>
      <c r="H10" s="67" t="s">
        <v>134</v>
      </c>
      <c r="I10" s="67" t="s">
        <v>135</v>
      </c>
    </row>
    <row r="11" spans="1:9" x14ac:dyDescent="0.3">
      <c r="A11" s="59" t="s">
        <v>138</v>
      </c>
      <c r="B11" s="38">
        <f>B10/(B10-1)</f>
        <v>1.25</v>
      </c>
      <c r="F11" t="s">
        <v>133</v>
      </c>
      <c r="G11">
        <f t="array" ref="G11:I13">B11*G4:I6</f>
        <v>8.356236999999999E-3</v>
      </c>
      <c r="H11">
        <v>4.3184617500000005E-3</v>
      </c>
      <c r="I11">
        <v>3.1453004999999999E-3</v>
      </c>
    </row>
    <row r="12" spans="1:9" x14ac:dyDescent="0.3">
      <c r="F12" t="s">
        <v>134</v>
      </c>
      <c r="G12">
        <v>4.3184617500000005E-3</v>
      </c>
      <c r="H12">
        <v>2.3456069999999983E-3</v>
      </c>
      <c r="I12">
        <v>1.8604245E-3</v>
      </c>
    </row>
    <row r="13" spans="1:9" x14ac:dyDescent="0.3">
      <c r="F13" t="s">
        <v>135</v>
      </c>
      <c r="G13">
        <v>3.1453004999999999E-3</v>
      </c>
      <c r="H13">
        <v>1.8604245E-3</v>
      </c>
      <c r="I13">
        <v>2.9655970000000004E-3</v>
      </c>
    </row>
    <row r="14" spans="1:9" x14ac:dyDescent="0.3">
      <c r="F14" s="79"/>
      <c r="G14" s="79"/>
      <c r="H14" s="79"/>
      <c r="I14" s="79"/>
    </row>
    <row r="15" spans="1:9" ht="28.8" x14ac:dyDescent="0.3">
      <c r="F15" s="82" t="s">
        <v>47</v>
      </c>
      <c r="G15" s="83">
        <f>_xlfn.VAR.S(B4:B8)</f>
        <v>8.356236999999999E-3</v>
      </c>
      <c r="H15" s="83">
        <f>_xlfn.VAR.S(C4:C8)</f>
        <v>2.3456069999999987E-3</v>
      </c>
      <c r="I15" s="83">
        <f>_xlfn.VAR.S(D4:D8)</f>
        <v>2.9655969999999986E-3</v>
      </c>
    </row>
  </sheetData>
  <mergeCells count="4">
    <mergeCell ref="A2:A3"/>
    <mergeCell ref="B2:D2"/>
    <mergeCell ref="F2:I2"/>
    <mergeCell ref="F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Frequency Example 1 </vt:lpstr>
      <vt:lpstr>Frequency Example 3</vt:lpstr>
      <vt:lpstr>DESCRIPTIVE STATISTIC 1</vt:lpstr>
      <vt:lpstr>DESCRIPTIVE STATISTIC 2 </vt:lpstr>
      <vt:lpstr>CovMat_Example</vt:lpstr>
      <vt:lpstr>CovMat_Use</vt:lpstr>
      <vt:lpstr>CovMat_Example 1</vt:lpstr>
      <vt:lpstr>CovMat_Example 2</vt:lpstr>
      <vt:lpstr>CovMat_Example 3</vt:lpstr>
      <vt:lpstr>CovMat_FAQ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132234 131003</dc:creator>
  <cp:lastModifiedBy>Shruti Gajjar</cp:lastModifiedBy>
  <dcterms:created xsi:type="dcterms:W3CDTF">2024-08-14T08:50:00Z</dcterms:created>
  <dcterms:modified xsi:type="dcterms:W3CDTF">2024-08-25T06:17:33Z</dcterms:modified>
</cp:coreProperties>
</file>