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/>
  <workbookPr/>
  <mc:AlternateContent xmlns:mc="http://schemas.openxmlformats.org/markup-compatibility/2006">
    <mc:Choice Requires="x15">
      <x15ac:absPath xmlns:x15ac="http://schemas.microsoft.com/office/spreadsheetml/2010/11/ac" url="https://d.docs.live.net/4eec18b25c347ea2/Desktop/TOPS_TECHNOLOGY/ASSIGNMENT/EXCEL/"/>
    </mc:Choice>
  </mc:AlternateContent>
  <xr:revisionPtr revIDLastSave="2" documentId="8_{1B21A9E3-2D78-478C-B889-7C64E2FB6591}" xr6:coauthVersionLast="47" xr6:coauthVersionMax="47" xr10:uidLastSave="{4D8D0ED9-F617-45ED-B050-FAA5C6D20DE3}"/>
  <workbookProtection workbookAlgorithmName="SHA-512" workbookHashValue="9xqDdht6j4eoyzUrNEbLYM5+JHPwI4p5OyPZtjxuDjkbMRT7MD/X2yZiosi67UsXM9EilrE+yppBIOEPlAgcJA==" workbookSaltValue="scvunV6KA5huQf0do0nNmg==" workbookSpinCount="100000" lockStructure="1"/>
  <bookViews>
    <workbookView xWindow="-108" yWindow="-108" windowWidth="23256" windowHeight="12456" activeTab="1" xr2:uid="{00000000-000D-0000-FFFF-FFFF00000000}"/>
  </bookViews>
  <sheets>
    <sheet name="AVERAGE 1" sheetId="1" r:id="rId1"/>
    <sheet name="AVERAGE 3" sheetId="2" r:id="rId2"/>
    <sheet name="COUNT 1" sheetId="3" r:id="rId3"/>
    <sheet name="COUNT 2" sheetId="4" r:id="rId4"/>
    <sheet name="COUNT 3" sheetId="5" r:id="rId5"/>
    <sheet name="HLOOKUP" sheetId="6" r:id="rId6"/>
    <sheet name="IF 1" sheetId="7" r:id="rId7"/>
    <sheet name="IF 2" sheetId="8" r:id="rId8"/>
    <sheet name="IF 3" sheetId="9" r:id="rId9"/>
    <sheet name="IF 4" sheetId="10" r:id="rId10"/>
    <sheet name="MATH 1" sheetId="11" r:id="rId11"/>
    <sheet name="MAX MIN 1" sheetId="12" r:id="rId12"/>
    <sheet name="MAX MIN 2" sheetId="13" r:id="rId13"/>
    <sheet name="MAX MIN 3" sheetId="14" r:id="rId14"/>
    <sheet name="NESTED IF 1" sheetId="15" r:id="rId15"/>
    <sheet name="SUM 1" sheetId="16" r:id="rId16"/>
    <sheet name="SUM 2" sheetId="17" r:id="rId17"/>
    <sheet name="SUM 3" sheetId="18" r:id="rId18"/>
    <sheet name="SUMIF 1" sheetId="19" r:id="rId19"/>
    <sheet name="SUMIF 2" sheetId="20" r:id="rId20"/>
    <sheet name="VLOOKUP - Approximate Match" sheetId="23" r:id="rId21"/>
    <sheet name="VLOOKUP 1 (1)" sheetId="24" r:id="rId22"/>
    <sheet name="VLOOKUP 2a" sheetId="25" r:id="rId23"/>
    <sheet name="VBA 1" sheetId="21" r:id="rId24"/>
    <sheet name="VBA 1 (2)" sheetId="22" r:id="rId25"/>
    <sheet name="Lec Macros 1.1 . " sheetId="26" r:id="rId26"/>
    <sheet name="Lec Macros 1.1 (2)" sheetId="27" r:id="rId27"/>
    <sheet name="Lec Macros 1.2." sheetId="28" r:id="rId28"/>
    <sheet name="Lec Macros 1.2.2" sheetId="29" r:id="rId29"/>
    <sheet name="Lec Macros 1.2.t-1" sheetId="30" r:id="rId30"/>
    <sheet name="Lec Macros 1.2.t-2" sheetId="31" r:id="rId3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25" l="1"/>
  <c r="C26" i="25"/>
  <c r="C22" i="25"/>
  <c r="C37" i="24"/>
  <c r="C36" i="24"/>
  <c r="C35" i="24"/>
  <c r="C30" i="24"/>
  <c r="C29" i="24"/>
  <c r="C28" i="24"/>
  <c r="E23" i="24"/>
  <c r="E21" i="24"/>
  <c r="B11" i="23"/>
  <c r="B10" i="23"/>
  <c r="B9" i="23"/>
  <c r="H20" i="22"/>
  <c r="H19" i="22"/>
  <c r="H18" i="22"/>
  <c r="H17" i="22"/>
  <c r="H16" i="22"/>
  <c r="H15" i="22"/>
  <c r="H14" i="22"/>
  <c r="H13" i="22"/>
  <c r="H12" i="22"/>
  <c r="H11" i="22"/>
  <c r="H10" i="22"/>
  <c r="H9" i="22"/>
  <c r="H8" i="22"/>
  <c r="H7" i="22"/>
  <c r="H6" i="22"/>
  <c r="H5" i="22"/>
  <c r="H4" i="22"/>
  <c r="H3" i="22"/>
  <c r="H20" i="21"/>
  <c r="H19" i="21"/>
  <c r="H18" i="21"/>
  <c r="H17" i="21"/>
  <c r="H16" i="21"/>
  <c r="H15" i="21"/>
  <c r="H14" i="21"/>
  <c r="H13" i="21"/>
  <c r="H12" i="21"/>
  <c r="H11" i="21"/>
  <c r="H10" i="21"/>
  <c r="H9" i="21"/>
  <c r="H8" i="21"/>
  <c r="H7" i="21"/>
  <c r="H6" i="21"/>
  <c r="H5" i="21"/>
  <c r="H4" i="21"/>
  <c r="H3" i="21"/>
  <c r="C29" i="20"/>
  <c r="C25" i="20"/>
  <c r="C21" i="20"/>
  <c r="H24" i="19"/>
  <c r="H23" i="19"/>
  <c r="H21" i="19"/>
  <c r="H19" i="19"/>
  <c r="H18" i="19"/>
  <c r="D24" i="18"/>
  <c r="D23" i="18"/>
  <c r="D20" i="18"/>
  <c r="D17" i="18"/>
  <c r="D14" i="18"/>
  <c r="D11" i="18"/>
  <c r="D8" i="18"/>
  <c r="B98" i="17"/>
  <c r="C24" i="16"/>
  <c r="D15" i="15" a="1"/>
  <c r="D15" i="15" s="1"/>
  <c r="C19" i="14"/>
  <c r="F16" i="13"/>
  <c r="F15" i="13"/>
  <c r="F14" i="13"/>
  <c r="F13" i="13"/>
  <c r="C16" i="12"/>
  <c r="C15" i="12"/>
  <c r="C17" i="12" s="1"/>
  <c r="D28" i="11"/>
  <c r="D24" i="11"/>
  <c r="D22" i="11"/>
  <c r="D18" i="11"/>
  <c r="D17" i="11"/>
  <c r="D16" i="11"/>
  <c r="D15" i="11"/>
  <c r="D22" i="10"/>
  <c r="D21" i="10"/>
  <c r="D20" i="10"/>
  <c r="D19" i="10"/>
  <c r="D18" i="10"/>
  <c r="D17" i="10"/>
  <c r="D16" i="10"/>
  <c r="F16" i="9" a="1"/>
  <c r="F16" i="9" s="1"/>
  <c r="E16" i="9" a="1"/>
  <c r="E16" i="9" s="1"/>
  <c r="D13" i="8" a="1"/>
  <c r="D13" i="8" s="1"/>
  <c r="C10" i="7" a="1"/>
  <c r="C10" i="7" s="1"/>
  <c r="C35" i="6"/>
  <c r="C25" i="6"/>
  <c r="C14" i="6"/>
  <c r="B31" i="5"/>
  <c r="B28" i="5"/>
  <c r="B25" i="5"/>
  <c r="B22" i="5"/>
  <c r="B32" i="4"/>
  <c r="B26" i="4"/>
  <c r="B24" i="3"/>
  <c r="B21" i="3"/>
  <c r="B32" i="2"/>
  <c r="B31" i="2"/>
  <c r="B26" i="2"/>
  <c r="B25" i="2"/>
  <c r="B24" i="2"/>
  <c r="D25" i="1"/>
  <c r="D23" i="1"/>
  <c r="D21" i="1"/>
  <c r="D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tc={485B203F-5572-42C3-8F7D-E191F03B29DE}</author>
  </authors>
  <commentList>
    <comment ref="A2" authorId="0" shapeId="0" xr:uid="{485B203F-5572-42C3-8F7D-E191F03B29DE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AVERAGE FUNCTION FOR THIS QUESTION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<sst xmlns="http://schemas.openxmlformats.org/spreadsheetml/2006/main" count="1197" uniqueCount="679">
  <si>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</si>
  <si>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</si>
  <si>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</si>
  <si>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</si>
  <si>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</si>
  <si>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</si>
  <si>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</si>
  <si>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</si>
  <si>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</si>
  <si>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</si>
  <si>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</si>
  <si>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</si>
  <si>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</si>
  <si>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</si>
  <si>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</si>
  <si>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</si>
  <si>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</si>
  <si>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</si>
  <si>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</si>
  <si>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</si>
  <si>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</si>
  <si>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</si>
  <si>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</si>
  <si>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</si>
  <si>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</si>
  <si>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</si>
  <si>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</si>
  <si>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</si>
  <si>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</si>
  <si>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</si>
  <si>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</si>
  <si>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</si>
  <si>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</si>
  <si>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</si>
  <si>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What was the average precipitation for each month?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</si>
  <si>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</si>
  <si>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</si>
  <si>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</si>
  <si>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</si>
  <si>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</si>
  <si>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</si>
  <si>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</si>
  <si>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</si>
  <si>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</si>
  <si>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</si>
  <si>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</si>
  <si>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</si>
  <si>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</si>
  <si>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</si>
  <si>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</si>
  <si>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</si>
  <si>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</si>
  <si>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</si>
  <si>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</si>
  <si>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</si>
  <si>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</si>
  <si>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</si>
  <si>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</si>
  <si>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</si>
  <si>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</si>
  <si>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</si>
  <si>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</si>
  <si>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</si>
  <si>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</si>
  <si>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</si>
  <si>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</si>
  <si>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</si>
  <si>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</si>
  <si>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</si>
  <si>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</si>
  <si>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</si>
  <si>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</si>
  <si>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</si>
  <si>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</si>
  <si>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</si>
  <si>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</si>
  <si>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</si>
  <si>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COUNT returns the number of cells with a number.</t>
  </si>
  <si>
    <t>How many non-blank answers (numbers and letters) appear in column C?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</si>
  <si>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</si>
  <si>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</si>
  <si>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</si>
  <si>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</si>
  <si>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</si>
  <si>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</si>
  <si>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</si>
  <si>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</si>
  <si>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</si>
  <si>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</si>
  <si>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Data</t>
  </si>
  <si>
    <t>Employee ID</t>
  </si>
  <si>
    <t>Employee Name</t>
  </si>
  <si>
    <t>John Doe</t>
  </si>
  <si>
    <t>Jane Smith</t>
  </si>
  <si>
    <t>Bob Johnson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</si>
  <si>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</si>
  <si>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</si>
  <si>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</si>
  <si>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</si>
  <si>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</si>
  <si>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</si>
  <si>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</si>
  <si>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</si>
  <si>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HR</t>
  </si>
  <si>
    <t>Marketing</t>
  </si>
  <si>
    <t>IT</t>
  </si>
  <si>
    <t>Finance</t>
  </si>
  <si>
    <t>Salary</t>
  </si>
  <si>
    <t>Bonus</t>
  </si>
  <si>
    <t>Total Pay</t>
  </si>
  <si>
    <t>What is the department of employee with ID 102?</t>
  </si>
  <si>
    <t>Enter function here:</t>
  </si>
  <si>
    <t>What is the salary of employee with ID 105?</t>
  </si>
  <si>
    <t xml:space="preserve">What is the total pay of employee with ID 107? </t>
  </si>
  <si>
    <t xml:space="preserve">Explanation: 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</si>
  <si>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</si>
  <si>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</si>
  <si>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</si>
  <si>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</si>
  <si>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</si>
  <si>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</si>
  <si>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</si>
  <si>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</si>
  <si>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</si>
  <si>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Dani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</si>
  <si>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</si>
  <si>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</si>
  <si>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</si>
  <si>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</si>
  <si>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</si>
  <si>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</si>
  <si>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</si>
  <si>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</si>
  <si>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</si>
  <si>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</si>
  <si>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</si>
  <si>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</si>
  <si>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</si>
  <si>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</si>
  <si>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</si>
  <si>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</si>
  <si>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</si>
  <si>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</si>
  <si>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</si>
  <si>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</si>
  <si>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</si>
  <si>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</si>
  <si>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</si>
  <si>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</si>
  <si>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</si>
  <si>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</si>
  <si>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</si>
  <si>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</si>
  <si>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</si>
  <si>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</si>
  <si>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</si>
  <si>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</si>
  <si>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</si>
  <si>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</si>
  <si>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</si>
  <si>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</si>
  <si>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</si>
  <si>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</si>
  <si>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</si>
  <si>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</si>
  <si>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</si>
  <si>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</si>
  <si>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</si>
  <si>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</si>
  <si>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</si>
  <si>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</si>
  <si>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</si>
  <si>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</si>
  <si>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</si>
  <si>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</si>
  <si>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</si>
  <si>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</si>
  <si>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</si>
  <si>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</si>
  <si>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</si>
  <si>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</si>
  <si>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</si>
  <si>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</si>
  <si>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</si>
  <si>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</si>
  <si>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</si>
  <si>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</si>
  <si>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</si>
  <si>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</si>
  <si>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</si>
  <si>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</si>
  <si>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</si>
  <si>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</si>
  <si>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</si>
  <si>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Click here to view the Answers!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</si>
  <si>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</si>
  <si>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</si>
  <si>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</si>
  <si>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</si>
  <si>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</si>
  <si>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</si>
  <si>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</si>
  <si>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</si>
  <si>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</si>
  <si>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</si>
  <si>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</si>
  <si>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</si>
  <si>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</si>
  <si>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</si>
  <si>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</si>
  <si>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</si>
  <si>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</si>
  <si>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</si>
  <si>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</si>
  <si>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</si>
  <si>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</si>
  <si>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</si>
  <si>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</si>
  <si>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</si>
  <si>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</si>
  <si>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</si>
  <si>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</si>
  <si>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</si>
  <si>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</si>
  <si>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</si>
  <si>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</si>
  <si>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</si>
  <si>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</si>
  <si>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</si>
  <si>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</si>
  <si>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</si>
  <si>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</si>
  <si>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</si>
  <si>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</si>
  <si>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</si>
  <si>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</si>
  <si>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</si>
  <si>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</si>
  <si>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</si>
  <si>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</si>
  <si>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</si>
  <si>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</si>
  <si>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</si>
  <si>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</si>
  <si>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</si>
  <si>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</si>
  <si>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</si>
  <si>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</si>
  <si>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</si>
  <si>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</si>
  <si>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</si>
  <si>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</si>
  <si>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Calculate the total costs at the bottom of the table. Hint: to save time, use sum shortcuts.</t>
  </si>
  <si>
    <t>Date</t>
  </si>
  <si>
    <t>Costs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</si>
  <si>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</si>
  <si>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</si>
  <si>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</si>
  <si>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</si>
  <si>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</si>
  <si>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</si>
  <si>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</si>
  <si>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</si>
  <si>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</si>
  <si>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</si>
  <si>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</si>
  <si>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</si>
  <si>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</si>
  <si>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</si>
  <si>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</si>
  <si>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</si>
  <si>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</si>
  <si>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</si>
  <si>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</si>
  <si>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</si>
  <si>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</si>
  <si>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</si>
  <si>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</si>
  <si>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</si>
  <si>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</si>
  <si>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</si>
  <si>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</si>
  <si>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</si>
  <si>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</si>
  <si>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</si>
  <si>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</si>
  <si>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</si>
  <si>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</si>
  <si>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</si>
  <si>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</si>
  <si>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</si>
  <si>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</si>
  <si>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</si>
  <si>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</si>
  <si>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</si>
  <si>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</si>
  <si>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</si>
  <si>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</si>
  <si>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</si>
  <si>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</si>
  <si>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</si>
  <si>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</si>
  <si>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</si>
  <si>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</si>
  <si>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</si>
  <si>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</si>
  <si>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</si>
  <si>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</si>
  <si>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</si>
  <si>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</si>
  <si>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</si>
  <si>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</si>
  <si>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</si>
  <si>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</si>
  <si>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</si>
  <si>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</si>
  <si>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</si>
  <si>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</si>
  <si>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</si>
  <si>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</si>
  <si>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</si>
  <si>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</si>
  <si>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</si>
  <si>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</si>
  <si>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</si>
  <si>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</si>
  <si>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</si>
  <si>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</si>
  <si>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</si>
  <si>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</si>
  <si>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</si>
  <si>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</si>
  <si>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</si>
  <si>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</si>
  <si>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</si>
  <si>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</si>
  <si>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</si>
  <si>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</si>
  <si>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</si>
  <si>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</si>
  <si>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</si>
  <si>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</si>
  <si>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</si>
  <si>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</si>
  <si>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</si>
  <si>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</si>
  <si>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</si>
  <si>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</si>
  <si>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</si>
  <si>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</si>
  <si>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</si>
  <si>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</si>
  <si>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</si>
  <si>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</si>
  <si>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</si>
  <si>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</si>
  <si>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</si>
  <si>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</si>
  <si>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</si>
  <si>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</si>
  <si>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</si>
  <si>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</si>
  <si>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</si>
  <si>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</si>
  <si>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</si>
  <si>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</si>
  <si>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</si>
  <si>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</si>
  <si>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</si>
  <si>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</si>
  <si>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</si>
  <si>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</si>
  <si>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</si>
  <si>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</si>
  <si>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</si>
  <si>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</si>
  <si>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</si>
  <si>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</si>
  <si>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</si>
  <si>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</si>
  <si>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</si>
  <si>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</si>
  <si>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</si>
  <si>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</si>
  <si>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</si>
  <si>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</si>
  <si>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</si>
  <si>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</si>
  <si>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</si>
  <si>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</si>
  <si>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</si>
  <si>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</si>
  <si>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</si>
  <si>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</si>
  <si>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</si>
  <si>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</si>
  <si>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</si>
  <si>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</si>
  <si>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</si>
  <si>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</si>
  <si>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</si>
  <si>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</si>
  <si>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</si>
  <si>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</si>
  <si>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</si>
  <si>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</si>
  <si>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</si>
  <si>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</si>
  <si>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</si>
  <si>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</si>
  <si>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</si>
  <si>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</si>
  <si>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</si>
  <si>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</si>
  <si>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</si>
  <si>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</si>
  <si>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</si>
  <si>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</si>
  <si>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</si>
  <si>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</si>
  <si>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</si>
  <si>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</si>
  <si>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</si>
  <si>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</si>
  <si>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</si>
  <si>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</si>
  <si>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</si>
  <si>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</si>
  <si>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</si>
  <si>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</si>
  <si>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</si>
  <si>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</si>
  <si>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</si>
  <si>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</si>
  <si>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</si>
  <si>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</si>
  <si>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</si>
  <si>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</si>
  <si>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</si>
  <si>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</si>
  <si>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</si>
  <si>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</si>
  <si>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</si>
  <si>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</si>
  <si>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</si>
  <si>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</si>
  <si>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</si>
  <si>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</si>
  <si>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</si>
  <si>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</si>
  <si>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</si>
  <si>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</si>
  <si>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</si>
  <si>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</si>
  <si>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</si>
  <si>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</si>
  <si>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</si>
  <si>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</si>
  <si>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</si>
  <si>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</si>
  <si>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</si>
  <si>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</si>
  <si>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</si>
  <si>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</si>
  <si>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</si>
  <si>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</si>
  <si>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</si>
  <si>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</si>
  <si>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What is the total number of medals won by figure skaters?</t>
  </si>
  <si>
    <t>What is the total number of medals won by both USA and Jamaica? (Hard)</t>
  </si>
  <si>
    <t>Order ID</t>
  </si>
  <si>
    <t>Product</t>
  </si>
  <si>
    <t>Quantity</t>
  </si>
  <si>
    <t>Price</t>
  </si>
  <si>
    <t>Total</t>
  </si>
  <si>
    <t>Discount</t>
  </si>
  <si>
    <t>Bill Smith</t>
  </si>
  <si>
    <t>Volkswagen Golf</t>
  </si>
  <si>
    <t>1=</t>
  </si>
  <si>
    <t xml:space="preserve">Convert The CSV file into Table </t>
  </si>
  <si>
    <t>Kennedi Singh</t>
  </si>
  <si>
    <t>Toyota Yaris</t>
  </si>
  <si>
    <t>2=</t>
  </si>
  <si>
    <t>With Text To Columns</t>
  </si>
  <si>
    <t>Harley Fritz</t>
  </si>
  <si>
    <t>Seat Panda</t>
  </si>
  <si>
    <t>3=</t>
  </si>
  <si>
    <t>Add Discount Column</t>
  </si>
  <si>
    <t>Nyla Novak</t>
  </si>
  <si>
    <t>Ford Focus</t>
  </si>
  <si>
    <t>4=</t>
  </si>
  <si>
    <t>Do formatting And coloring</t>
  </si>
  <si>
    <t>Ivan Hines</t>
  </si>
  <si>
    <t>Vauxhall Corsa</t>
  </si>
  <si>
    <t>5=</t>
  </si>
  <si>
    <t>Create a Function to give Discount of 20 % if Buying Quantiy more than 20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</si>
  <si>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</si>
  <si>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</si>
  <si>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</si>
  <si>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</si>
  <si>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</si>
  <si>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</si>
  <si>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</si>
  <si>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</si>
  <si>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</si>
  <si>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</si>
  <si>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</si>
  <si>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</si>
  <si>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</si>
  <si>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</si>
  <si>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</si>
  <si>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</si>
  <si>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</si>
  <si>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</si>
  <si>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</si>
  <si>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</si>
  <si>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GBP:USD Exchange rates:</t>
  </si>
  <si>
    <t>Exchange Rate</t>
  </si>
  <si>
    <t>Below is a list of the employees who work in your company:</t>
  </si>
  <si>
    <t>Location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</si>
  <si>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</si>
  <si>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</si>
  <si>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</si>
  <si>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</si>
  <si>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</si>
  <si>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</si>
  <si>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</si>
  <si>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</si>
  <si>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</si>
  <si>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</si>
  <si>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</si>
  <si>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</si>
  <si>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</si>
  <si>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</si>
  <si>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</si>
  <si>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</si>
  <si>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</si>
  <si>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</si>
  <si>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</si>
  <si>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</si>
  <si>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</si>
  <si>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</si>
  <si>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</si>
  <si>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</si>
  <si>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</si>
  <si>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</si>
  <si>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</si>
  <si>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</si>
  <si>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</si>
  <si>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</si>
  <si>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</si>
  <si>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</si>
  <si>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</si>
  <si>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</si>
  <si>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Accountant</t>
  </si>
  <si>
    <t>Emily Chen</t>
  </si>
  <si>
    <t>Sam Lee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</si>
  <si>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</si>
  <si>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</si>
  <si>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</si>
  <si>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</si>
  <si>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</si>
  <si>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</si>
  <si>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</si>
  <si>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</si>
  <si>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</si>
  <si>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</si>
  <si>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</si>
  <si>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</si>
  <si>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</si>
  <si>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person whose name starts with "B" (Challenging!)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</si>
  <si>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</si>
  <si>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</si>
  <si>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</si>
  <si>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</si>
  <si>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</si>
  <si>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</si>
  <si>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</si>
  <si>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</si>
  <si>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</si>
  <si>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</si>
  <si>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</si>
  <si>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</si>
  <si>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</si>
  <si>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</si>
  <si>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</si>
  <si>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</si>
  <si>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</si>
  <si>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</si>
  <si>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</si>
  <si>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</si>
  <si>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</si>
  <si>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</si>
  <si>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</si>
  <si>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</si>
  <si>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</si>
  <si>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</si>
  <si>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</si>
  <si>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</si>
  <si>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</si>
  <si>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</si>
  <si>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</si>
  <si>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</si>
  <si>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</si>
  <si>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</si>
  <si>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</si>
  <si>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</si>
  <si>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</si>
  <si>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</si>
  <si>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</si>
  <si>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</si>
  <si>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</si>
  <si>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</si>
  <si>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</si>
  <si>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</si>
  <si>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</si>
  <si>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</si>
  <si>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</si>
  <si>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</si>
  <si>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</si>
  <si>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</si>
  <si>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</si>
  <si>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</si>
  <si>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</si>
  <si>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</si>
  <si>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</si>
  <si>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</si>
  <si>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</si>
  <si>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</si>
  <si>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</si>
  <si>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</si>
  <si>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</si>
  <si>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</si>
  <si>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</si>
  <si>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</si>
  <si>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 No.</t>
  </si>
  <si>
    <t xml:space="preserve">First Name </t>
  </si>
  <si>
    <t>Last Name</t>
  </si>
  <si>
    <t>1) Use the average function and calculate the average of all the three category of weight. (for this question use excel file named average 1).</t>
  </si>
  <si>
    <t>2) The excel file named Average 3, the table below contains precipitation</t>
  </si>
  <si>
    <t>measurement as measured in the Rochester NY area last year and we</t>
  </si>
  <si>
    <t>sampled 3 days in each of the first three months of 2018. Complete all</t>
  </si>
  <si>
    <t>the question in the file given.</t>
  </si>
  <si>
    <t>3) In excel file named Count 1, The table below shows survey responses; the respondents could use any value for their answers.</t>
  </si>
  <si>
    <t>4) Answer all the questions using COUNT and COUNTA function.</t>
  </si>
  <si>
    <t>5) In excel file named COUNT 2, The following table represents a bank statement of ExcelMaster company. Column E shows the total dollar value amount of each of the accounts. Answer all the questions using COUNT and COUNTA function.</t>
  </si>
  <si>
    <t>6) In excel file named COUNT 3, Solve all the question by using formulas COUNT, COUNTA and COUNTBLANK:</t>
  </si>
  <si>
    <t>7) In excel file named HLOOKUP, solve all the question using HLOOKUP only.</t>
  </si>
  <si>
    <t>8) In excel file named IF 1, Table A contains names and their respective grades for Excel 101 Course. Complete column C using only IF formula.</t>
  </si>
  <si>
    <t xml:space="preserve">9) In excel file named IF 2, The following table is an extract from an 
accounting system that contains four journal entries. </t>
  </si>
  <si>
    <t xml:space="preserve">Check if column </t>
  </si>
  <si>
    <t xml:space="preserve">A's cells match column B's cell. if they match - return "match", </t>
  </si>
  <si>
    <t>otherwise return "no match".</t>
  </si>
  <si>
    <t xml:space="preserve">10) In excel file named IF 3, The table below contains details of high school student’s names and ages, use IF </t>
  </si>
  <si>
    <t>formula to complete columns D and E.If the student's age is 16 or above, he/she is eligible for a driver's license. Check if they are eligible or not. Answer in column D.</t>
  </si>
  <si>
    <t>11) If the student is younger than 18 years old, he/she is a minor. Check whether the student is a minor or not. for Minor return "Minor" and non minor = "Adult" answer in column E.</t>
  </si>
  <si>
    <t>12) In excel file named IF 4, An A+ student gets 100% scholarship and non A+ gets 50% scholarship, the following table contains the names of</t>
  </si>
  <si>
    <t xml:space="preserve"> students from 2024 class. Use IF function to calculate the scholarships' amounts each of them will get.</t>
  </si>
  <si>
    <t>13) In excel file named Math 1, Use the following guidelines to calculate the statements given the file.</t>
  </si>
  <si>
    <t>14) In excel file named MAX MIN 1, Use max, min and average formulas to answer all the following questions given in the file.</t>
  </si>
  <si>
    <t>15) In the file named MAX MIN 2, The following table contains details about the scores of 4 students in a driving theory test.</t>
  </si>
  <si>
    <t xml:space="preserve"> If a student fails at least one test - she or he needs to retake the course. Use IF and MAX/MIN to check if a student passed the test.</t>
  </si>
  <si>
    <t xml:space="preserve">16) In the file named MAX MIN 3, IF at least one student got 99 points or more in a test - the test considered easy, </t>
  </si>
  <si>
    <t>Use MAX and IF to create a logic that checks if the test was "Easy" or not.</t>
  </si>
  <si>
    <t xml:space="preserve">17) In the file named Nested IF 1, The school decided to use the following grade system: </t>
  </si>
  <si>
    <t>a. Grade higher or equal to 80 - Excellent</t>
  </si>
  <si>
    <t>c. Grade lower than 60 - Failed Complete all the task given in the file.</t>
  </si>
  <si>
    <t xml:space="preserve">b. Grade higher or equal to 60 but lower than 80 – Good </t>
  </si>
  <si>
    <t xml:space="preserve">18) In the file named SUM 1, The following table includes ABC company's revenue by month. </t>
  </si>
  <si>
    <t>19) In the file named SUM 2, The following table represents daily costs by</t>
  </si>
  <si>
    <t xml:space="preserve">21) In the file named SUM 3, Find the number of residents for each of the following groups from the table below, </t>
  </si>
  <si>
    <t>complete all the question in the file.</t>
  </si>
  <si>
    <t>22) In the file named SUMIF 1, answer all the question given in the file.</t>
  </si>
  <si>
    <t>23) In the file named SUMIF 2, answer all the question given in the file based on table.</t>
  </si>
  <si>
    <t xml:space="preserve">24) In the file named VLOOKUP APPROXIMATE MATCH, Retrieve the GBP: USD exchange rate for the following dates using VLOOKUP function, </t>
  </si>
  <si>
    <t>from the table in columns G-H. In case there is no exchange rate for a certain date entry, return the the last known rate for that day.</t>
  </si>
  <si>
    <t>25) In the file named VLOOKUP 1, Below is a list of the employees who</t>
  </si>
  <si>
    <t>work in your company: Answer all the question given in the file using vlookup function.</t>
  </si>
  <si>
    <t>26) In the file named VLOOKUP 2a, according to the table, answer all the question given in the file using vlookup.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</si>
</sst>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B1mmm\-yy"/>
    <numFmt numFmtId="165" formatCode="_(* #,##0.00_);_(* \(#,##0.00\);_(* &quot;-&quot;??_);_(@_)"/>
    <numFmt numFmtId="166" formatCode="_([$$-409]* #,##0.00_);_([$$-409]* \(#,##0.00\);_([$$-409]* &quot;-&quot;??_);_(@_)"/>
    <numFmt numFmtId="167" formatCode="_ * #,##0_ ;_ * \-#,##0_ ;_ * &quot;-&quot;??_ ;_ @_ "/>
    <numFmt numFmtId="168" formatCode="_(* #,##0_);_(* \(#,##0\);_(* &quot;-&quot;??_);_(@_)"/>
    <numFmt numFmtId="169" formatCode="_(&quot;$&quot;* #,##0.00_);_(&quot;$&quot;* \(#,##0.00\);_(&quot;$&quot;* &quot;-&quot;??_);_(@_)"/>
    <numFmt numFmtId="170" formatCode="_-[$$-409]* #,##0.0000_ ;_-[$$-409]* \-#,##0.0000\ ;_-[$$-409]* &quot;-&quot;??_ ;_-@_ 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E101A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rgb="FF0E101A"/>
      <name val="Calibri"/>
      <family val="2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charset val="177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indexed="81"/>
      <name val="Tahoma"/>
      <charset val="1"/>
    </font>
  </fonts>
  <fills count="22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18" fillId="0" borderId="0" applyNumberFormat="0" applyFill="0" applyBorder="0" applyAlignment="0" applyProtection="0"/>
    <xf numFmtId="43" fontId="3" fillId="0" borderId="0" applyFont="0" applyFill="0" applyBorder="0" applyAlignment="0" applyProtection="0"/>
  </cellStyleXfs>
  <cellXfs count="178">
    <xf numFmtId="0" fontId="0" fillId="0" borderId="0" xfId="0"/>
    <xf numFmtId="0" fontId="1" fillId="0" borderId="1" xfId="0" applyFont="1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2" fillId="0" borderId="0" xfId="0" applyFont="1"/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2" xfId="0" applyFont="1" applyFill="1" applyBorder="1" applyAlignment="1" applyProtection="1">
      <alignment horizontal="center"/>
      <protection locked="0"/>
    </xf>
    <xf numFmtId="0" fontId="2" fillId="5" borderId="2" xfId="0" applyFont="1" applyFill="1" applyBorder="1" applyAlignment="1" applyProtection="1">
      <alignment horizontal="center"/>
      <protection locked="0"/>
    </xf>
    <xf numFmtId="164" fontId="1" fillId="0" borderId="0" xfId="0" applyNumberFormat="1" applyFont="1"/>
    <xf numFmtId="0" fontId="1" fillId="5" borderId="0" xfId="0" applyFont="1" applyFill="1" applyProtection="1">
      <protection locked="0"/>
    </xf>
    <xf numFmtId="0" fontId="1" fillId="0" borderId="3" xfId="0" applyFont="1" applyBorder="1"/>
    <xf numFmtId="164" fontId="1" fillId="0" borderId="3" xfId="0" applyNumberFormat="1" applyFont="1" applyBorder="1"/>
    <xf numFmtId="0" fontId="2" fillId="6" borderId="3" xfId="0" applyFont="1" applyFill="1" applyBorder="1"/>
    <xf numFmtId="0" fontId="2" fillId="5" borderId="3" xfId="0" applyFont="1" applyFill="1" applyBorder="1" applyProtection="1">
      <protection locked="0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0" borderId="1" xfId="0" applyFont="1" applyBorder="1"/>
    <xf numFmtId="0" fontId="8" fillId="7" borderId="1" xfId="0" applyFont="1" applyFill="1" applyBorder="1"/>
    <xf numFmtId="0" fontId="7" fillId="7" borderId="1" xfId="0" applyFont="1" applyFill="1" applyBorder="1"/>
    <xf numFmtId="0" fontId="7" fillId="5" borderId="2" xfId="0" applyFont="1" applyFill="1" applyBorder="1" applyProtection="1">
      <protection locked="0"/>
    </xf>
    <xf numFmtId="0" fontId="9" fillId="0" borderId="0" xfId="0" applyFont="1"/>
    <xf numFmtId="0" fontId="10" fillId="0" borderId="0" xfId="0" applyFont="1"/>
    <xf numFmtId="0" fontId="3" fillId="0" borderId="0" xfId="0" applyFont="1"/>
    <xf numFmtId="0" fontId="10" fillId="5" borderId="2" xfId="0" applyFont="1" applyFill="1" applyBorder="1" applyProtection="1">
      <protection locked="0"/>
    </xf>
    <xf numFmtId="0" fontId="12" fillId="8" borderId="1" xfId="0" applyFont="1" applyFill="1" applyBorder="1" applyAlignment="1">
      <alignment horizontal="center" vertical="center"/>
    </xf>
    <xf numFmtId="165" fontId="12" fillId="8" borderId="1" xfId="0" applyNumberFormat="1" applyFont="1" applyFill="1" applyBorder="1" applyAlignment="1">
      <alignment vertical="center"/>
    </xf>
    <xf numFmtId="165" fontId="12" fillId="8" borderId="1" xfId="0" applyNumberFormat="1" applyFont="1" applyFill="1" applyBorder="1" applyAlignment="1">
      <alignment horizontal="center" vertical="center"/>
    </xf>
    <xf numFmtId="1" fontId="12" fillId="8" borderId="1" xfId="0" applyNumberFormat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7" fillId="10" borderId="4" xfId="0" applyFont="1" applyFill="1" applyBorder="1"/>
    <xf numFmtId="0" fontId="7" fillId="10" borderId="5" xfId="0" applyFont="1" applyFill="1" applyBorder="1"/>
    <xf numFmtId="0" fontId="7" fillId="10" borderId="6" xfId="0" applyFont="1" applyFill="1" applyBorder="1"/>
    <xf numFmtId="0" fontId="7" fillId="5" borderId="0" xfId="0" applyFont="1" applyFill="1" applyProtection="1">
      <protection locked="0"/>
    </xf>
    <xf numFmtId="0" fontId="13" fillId="0" borderId="0" xfId="0" applyFont="1"/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6" borderId="3" xfId="0" applyFont="1" applyFill="1" applyBorder="1"/>
    <xf numFmtId="0" fontId="10" fillId="0" borderId="0" xfId="0" applyFont="1" applyAlignment="1">
      <alignment horizontal="left" indent="1"/>
    </xf>
    <xf numFmtId="0" fontId="14" fillId="0" borderId="0" xfId="0" applyFont="1"/>
    <xf numFmtId="0" fontId="2" fillId="0" borderId="1" xfId="0" applyFont="1" applyBorder="1"/>
    <xf numFmtId="0" fontId="1" fillId="5" borderId="1" xfId="0" applyFont="1" applyFill="1" applyBorder="1" applyProtection="1">
      <protection locked="0"/>
    </xf>
    <xf numFmtId="0" fontId="15" fillId="0" borderId="0" xfId="0" applyFont="1"/>
    <xf numFmtId="0" fontId="16" fillId="0" borderId="0" xfId="0" applyFont="1"/>
    <xf numFmtId="166" fontId="1" fillId="0" borderId="1" xfId="0" applyNumberFormat="1" applyFont="1" applyBorder="1"/>
    <xf numFmtId="0" fontId="1" fillId="0" borderId="0" xfId="0" applyFont="1" applyAlignment="1">
      <alignment horizontal="left"/>
    </xf>
    <xf numFmtId="0" fontId="17" fillId="0" borderId="0" xfId="0" applyFont="1"/>
    <xf numFmtId="0" fontId="1" fillId="0" borderId="0" xfId="0" applyFont="1" applyAlignment="1">
      <alignment horizontal="right"/>
    </xf>
    <xf numFmtId="0" fontId="16" fillId="0" borderId="1" xfId="0" applyFont="1" applyBorder="1"/>
    <xf numFmtId="0" fontId="16" fillId="0" borderId="7" xfId="0" applyFont="1" applyBorder="1"/>
    <xf numFmtId="0" fontId="1" fillId="0" borderId="7" xfId="0" applyFont="1" applyBorder="1"/>
    <xf numFmtId="0" fontId="3" fillId="0" borderId="1" xfId="0" applyFont="1" applyBorder="1"/>
    <xf numFmtId="9" fontId="3" fillId="0" borderId="1" xfId="0" applyNumberFormat="1" applyFont="1" applyBorder="1"/>
    <xf numFmtId="0" fontId="4" fillId="0" borderId="1" xfId="0" applyFont="1" applyBorder="1"/>
    <xf numFmtId="167" fontId="3" fillId="0" borderId="1" xfId="1" applyNumberFormat="1" applyFont="1" applyBorder="1"/>
    <xf numFmtId="3" fontId="3" fillId="5" borderId="1" xfId="0" applyNumberFormat="1" applyFont="1" applyFill="1" applyBorder="1" applyProtection="1">
      <protection locked="0"/>
    </xf>
    <xf numFmtId="0" fontId="1" fillId="0" borderId="0" xfId="0" quotePrefix="1" applyFont="1"/>
    <xf numFmtId="9" fontId="1" fillId="5" borderId="0" xfId="0" applyNumberFormat="1" applyFont="1" applyFill="1" applyProtection="1">
      <protection locked="0"/>
    </xf>
    <xf numFmtId="9" fontId="1" fillId="0" borderId="0" xfId="0" applyNumberFormat="1" applyFont="1"/>
    <xf numFmtId="0" fontId="19" fillId="0" borderId="0" xfId="2" applyFont="1"/>
    <xf numFmtId="0" fontId="16" fillId="0" borderId="0" xfId="0" applyFont="1" applyAlignment="1">
      <alignment horizontal="center"/>
    </xf>
    <xf numFmtId="0" fontId="16" fillId="0" borderId="8" xfId="0" applyFont="1" applyBorder="1"/>
    <xf numFmtId="0" fontId="6" fillId="0" borderId="8" xfId="0" applyFont="1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5" borderId="2" xfId="0" applyFont="1" applyFill="1" applyBorder="1" applyProtection="1">
      <protection locked="0"/>
    </xf>
    <xf numFmtId="0" fontId="2" fillId="6" borderId="1" xfId="0" applyFont="1" applyFill="1" applyBorder="1" applyAlignment="1">
      <alignment horizontal="center"/>
    </xf>
    <xf numFmtId="0" fontId="0" fillId="0" borderId="3" xfId="0" applyBorder="1"/>
    <xf numFmtId="0" fontId="1" fillId="5" borderId="11" xfId="0" applyFont="1" applyFill="1" applyBorder="1" applyProtection="1">
      <protection locked="0"/>
    </xf>
    <xf numFmtId="0" fontId="1" fillId="5" borderId="12" xfId="0" applyFont="1" applyFill="1" applyBorder="1" applyProtection="1">
      <protection locked="0"/>
    </xf>
    <xf numFmtId="0" fontId="1" fillId="5" borderId="13" xfId="0" applyFont="1" applyFill="1" applyBorder="1" applyProtection="1">
      <protection locked="0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1" fillId="0" borderId="14" xfId="0" applyFont="1" applyBorder="1"/>
    <xf numFmtId="0" fontId="2" fillId="5" borderId="9" xfId="0" applyFont="1" applyFill="1" applyBorder="1" applyProtection="1">
      <protection locked="0"/>
    </xf>
    <xf numFmtId="0" fontId="4" fillId="0" borderId="3" xfId="0" applyFont="1" applyBorder="1"/>
    <xf numFmtId="0" fontId="0" fillId="6" borderId="3" xfId="0" applyFill="1" applyBorder="1" applyProtection="1">
      <protection locked="0"/>
    </xf>
    <xf numFmtId="168" fontId="1" fillId="0" borderId="0" xfId="0" applyNumberFormat="1" applyFont="1" applyAlignment="1">
      <alignment horizontal="center"/>
    </xf>
    <xf numFmtId="168" fontId="1" fillId="5" borderId="2" xfId="0" applyNumberFormat="1" applyFont="1" applyFill="1" applyBorder="1" applyProtection="1">
      <protection locked="0"/>
    </xf>
    <xf numFmtId="14" fontId="2" fillId="11" borderId="1" xfId="0" applyNumberFormat="1" applyFont="1" applyFill="1" applyBorder="1"/>
    <xf numFmtId="169" fontId="2" fillId="11" borderId="1" xfId="0" applyNumberFormat="1" applyFont="1" applyFill="1" applyBorder="1"/>
    <xf numFmtId="14" fontId="1" fillId="0" borderId="1" xfId="0" applyNumberFormat="1" applyFont="1" applyBorder="1"/>
    <xf numFmtId="169" fontId="1" fillId="0" borderId="1" xfId="0" applyNumberFormat="1" applyFont="1" applyBorder="1"/>
    <xf numFmtId="14" fontId="1" fillId="0" borderId="0" xfId="0" applyNumberFormat="1" applyFont="1"/>
    <xf numFmtId="169" fontId="1" fillId="6" borderId="1" xfId="0" applyNumberFormat="1" applyFont="1" applyFill="1" applyBorder="1" applyProtection="1">
      <protection locked="0"/>
    </xf>
    <xf numFmtId="3" fontId="20" fillId="12" borderId="1" xfId="0" applyNumberFormat="1" applyFont="1" applyFill="1" applyBorder="1" applyAlignment="1">
      <alignment horizontal="center"/>
    </xf>
    <xf numFmtId="3" fontId="14" fillId="0" borderId="0" xfId="0" applyNumberFormat="1" applyFont="1"/>
    <xf numFmtId="3" fontId="20" fillId="0" borderId="0" xfId="0" applyNumberFormat="1" applyFont="1" applyAlignment="1">
      <alignment horizontal="right"/>
    </xf>
    <xf numFmtId="3" fontId="1" fillId="5" borderId="1" xfId="0" applyNumberFormat="1" applyFont="1" applyFill="1" applyBorder="1" applyProtection="1">
      <protection locked="0"/>
    </xf>
    <xf numFmtId="0" fontId="21" fillId="0" borderId="0" xfId="0" applyFont="1"/>
    <xf numFmtId="3" fontId="1" fillId="5" borderId="3" xfId="0" applyNumberFormat="1" applyFont="1" applyFill="1" applyBorder="1" applyProtection="1">
      <protection locked="0"/>
    </xf>
    <xf numFmtId="3" fontId="1" fillId="6" borderId="3" xfId="0" applyNumberFormat="1" applyFont="1" applyFill="1" applyBorder="1" applyProtection="1">
      <protection locked="0"/>
    </xf>
    <xf numFmtId="0" fontId="20" fillId="12" borderId="1" xfId="0" applyFont="1" applyFill="1" applyBorder="1" applyAlignment="1">
      <alignment horizontal="center"/>
    </xf>
    <xf numFmtId="0" fontId="24" fillId="12" borderId="1" xfId="0" applyFont="1" applyFill="1" applyBorder="1" applyAlignment="1">
      <alignment horizontal="center"/>
    </xf>
    <xf numFmtId="0" fontId="20" fillId="0" borderId="1" xfId="0" applyFont="1" applyBorder="1" applyAlignment="1">
      <alignment horizontal="center"/>
    </xf>
    <xf numFmtId="3" fontId="20" fillId="5" borderId="1" xfId="0" applyNumberFormat="1" applyFont="1" applyFill="1" applyBorder="1" applyAlignment="1">
      <alignment horizontal="center"/>
    </xf>
    <xf numFmtId="3" fontId="2" fillId="5" borderId="1" xfId="0" applyNumberFormat="1" applyFont="1" applyFill="1" applyBorder="1" applyAlignment="1">
      <alignment horizontal="center"/>
    </xf>
    <xf numFmtId="167" fontId="0" fillId="0" borderId="3" xfId="3" applyNumberFormat="1" applyFont="1" applyBorder="1"/>
    <xf numFmtId="0" fontId="4" fillId="0" borderId="0" xfId="0" applyFont="1"/>
    <xf numFmtId="0" fontId="0" fillId="6" borderId="9" xfId="0" applyFill="1" applyBorder="1" applyProtection="1">
      <protection locked="0"/>
    </xf>
    <xf numFmtId="0" fontId="25" fillId="0" borderId="0" xfId="0" applyFont="1"/>
    <xf numFmtId="0" fontId="26" fillId="0" borderId="0" xfId="0" applyFont="1"/>
    <xf numFmtId="0" fontId="26" fillId="6" borderId="3" xfId="0" applyFont="1" applyFill="1" applyBorder="1"/>
    <xf numFmtId="0" fontId="25" fillId="14" borderId="3" xfId="0" applyFont="1" applyFill="1" applyBorder="1"/>
    <xf numFmtId="0" fontId="27" fillId="0" borderId="0" xfId="0" applyFont="1" applyAlignment="1">
      <alignment vertical="center"/>
    </xf>
    <xf numFmtId="0" fontId="18" fillId="0" borderId="0" xfId="2" quotePrefix="1"/>
    <xf numFmtId="0" fontId="28" fillId="0" borderId="0" xfId="0" applyFont="1" applyAlignment="1">
      <alignment vertical="center"/>
    </xf>
    <xf numFmtId="0" fontId="29" fillId="0" borderId="0" xfId="0" applyFont="1"/>
    <xf numFmtId="0" fontId="30" fillId="0" borderId="0" xfId="0" applyFont="1"/>
    <xf numFmtId="0" fontId="31" fillId="6" borderId="3" xfId="0" applyFont="1" applyFill="1" applyBorder="1"/>
    <xf numFmtId="0" fontId="0" fillId="0" borderId="0" xfId="0" applyAlignment="1">
      <alignment horizontal="center" wrapText="1"/>
    </xf>
    <xf numFmtId="0" fontId="4" fillId="15" borderId="17" xfId="0" applyFont="1" applyFill="1" applyBorder="1" applyAlignment="1">
      <alignment horizontal="center"/>
    </xf>
    <xf numFmtId="0" fontId="4" fillId="15" borderId="18" xfId="0" applyFont="1" applyFill="1" applyBorder="1" applyAlignment="1">
      <alignment horizontal="center"/>
    </xf>
    <xf numFmtId="0" fontId="4" fillId="15" borderId="19" xfId="0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Border="1" applyAlignment="1">
      <alignment horizontal="center" wrapText="1"/>
    </xf>
    <xf numFmtId="0" fontId="0" fillId="0" borderId="27" xfId="0" applyBorder="1" applyAlignment="1">
      <alignment horizontal="center"/>
    </xf>
    <xf numFmtId="0" fontId="4" fillId="16" borderId="3" xfId="0" applyFont="1" applyFill="1" applyBorder="1"/>
    <xf numFmtId="14" fontId="0" fillId="0" borderId="0" xfId="0" applyNumberFormat="1"/>
    <xf numFmtId="0" fontId="0" fillId="6" borderId="0" xfId="0" applyFill="1" applyProtection="1">
      <protection locked="0"/>
    </xf>
    <xf numFmtId="0" fontId="32" fillId="0" borderId="28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14" fontId="33" fillId="0" borderId="30" xfId="0" applyNumberFormat="1" applyFont="1" applyBorder="1" applyAlignment="1">
      <alignment horizontal="center" wrapText="1"/>
    </xf>
    <xf numFmtId="170" fontId="33" fillId="0" borderId="31" xfId="0" applyNumberFormat="1" applyFont="1" applyBorder="1" applyAlignment="1">
      <alignment horizontal="center" wrapText="1"/>
    </xf>
    <xf numFmtId="14" fontId="33" fillId="0" borderId="32" xfId="0" applyNumberFormat="1" applyFont="1" applyBorder="1" applyAlignment="1">
      <alignment horizontal="center" wrapText="1"/>
    </xf>
    <xf numFmtId="170" fontId="33" fillId="0" borderId="33" xfId="0" applyNumberFormat="1" applyFont="1" applyBorder="1" applyAlignment="1">
      <alignment horizontal="center" wrapText="1"/>
    </xf>
    <xf numFmtId="0" fontId="34" fillId="0" borderId="0" xfId="0" applyFont="1"/>
    <xf numFmtId="0" fontId="35" fillId="0" borderId="0" xfId="0" applyFont="1"/>
    <xf numFmtId="0" fontId="34" fillId="17" borderId="1" xfId="0" applyFont="1" applyFill="1" applyBorder="1"/>
    <xf numFmtId="0" fontId="34" fillId="17" borderId="16" xfId="0" applyFont="1" applyFill="1" applyBorder="1"/>
    <xf numFmtId="0" fontId="35" fillId="0" borderId="34" xfId="0" applyFont="1" applyBorder="1" applyAlignment="1">
      <alignment horizontal="left"/>
    </xf>
    <xf numFmtId="0" fontId="35" fillId="0" borderId="35" xfId="0" applyFont="1" applyBorder="1"/>
    <xf numFmtId="0" fontId="35" fillId="0" borderId="35" xfId="0" applyFont="1" applyBorder="1" applyAlignment="1">
      <alignment horizontal="right"/>
    </xf>
    <xf numFmtId="0" fontId="34" fillId="0" borderId="0" xfId="0" applyFont="1" applyAlignment="1">
      <alignment horizontal="right"/>
    </xf>
    <xf numFmtId="0" fontId="35" fillId="5" borderId="0" xfId="0" applyFont="1" applyFill="1" applyProtection="1">
      <protection locked="0"/>
    </xf>
    <xf numFmtId="0" fontId="34" fillId="0" borderId="1" xfId="0" applyFont="1" applyBorder="1"/>
    <xf numFmtId="0" fontId="34" fillId="0" borderId="16" xfId="0" applyFont="1" applyBorder="1"/>
    <xf numFmtId="0" fontId="35" fillId="5" borderId="35" xfId="0" applyFont="1" applyFill="1" applyBorder="1" applyProtection="1">
      <protection locked="0"/>
    </xf>
    <xf numFmtId="0" fontId="35" fillId="0" borderId="34" xfId="0" applyFont="1" applyBorder="1"/>
    <xf numFmtId="0" fontId="31" fillId="0" borderId="0" xfId="0" applyFont="1"/>
    <xf numFmtId="0" fontId="30" fillId="0" borderId="3" xfId="0" applyFont="1" applyBorder="1"/>
    <xf numFmtId="0" fontId="31" fillId="0" borderId="3" xfId="0" applyFont="1" applyBorder="1"/>
    <xf numFmtId="0" fontId="29" fillId="0" borderId="0" xfId="0" applyFont="1" applyAlignment="1">
      <alignment vertical="center"/>
    </xf>
    <xf numFmtId="0" fontId="36" fillId="19" borderId="3" xfId="0" applyFont="1" applyFill="1" applyBorder="1"/>
    <xf numFmtId="0" fontId="36" fillId="18" borderId="3" xfId="0" applyFont="1" applyFill="1" applyBorder="1"/>
    <xf numFmtId="0" fontId="36" fillId="0" borderId="3" xfId="0" applyFont="1" applyBorder="1"/>
    <xf numFmtId="0" fontId="36" fillId="0" borderId="0" xfId="0" applyFont="1"/>
    <xf numFmtId="0" fontId="37" fillId="21" borderId="3" xfId="0" applyFont="1" applyFill="1" applyBorder="1" applyAlignment="1">
      <alignment horizontal="center"/>
    </xf>
    <xf numFmtId="0" fontId="37" fillId="0" borderId="3" xfId="0" applyFont="1" applyBorder="1"/>
    <xf numFmtId="0" fontId="37" fillId="20" borderId="3" xfId="0" applyFont="1" applyFill="1" applyBorder="1" applyAlignment="1">
      <alignment horizontal="center"/>
    </xf>
    <xf numFmtId="0" fontId="39" fillId="0" borderId="0" xfId="0" applyFont="1"/>
    <xf numFmtId="0" fontId="40" fillId="0" borderId="0" xfId="0" applyFont="1"/>
    <xf numFmtId="0" fontId="37" fillId="0" borderId="0" xfId="0" applyFont="1"/>
    <xf numFmtId="0" fontId="38" fillId="0" borderId="36" xfId="0" applyFont="1" applyBorder="1" applyAlignment="1">
      <alignment horizontal="center"/>
    </xf>
    <xf numFmtId="0" fontId="38" fillId="0" borderId="37" xfId="0" applyFont="1" applyBorder="1" applyAlignment="1">
      <alignment horizontal="center"/>
    </xf>
    <xf numFmtId="0" fontId="38" fillId="0" borderId="38" xfId="0" applyFont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3" fillId="0" borderId="15" xfId="0" applyFont="1" applyBorder="1"/>
    <xf numFmtId="0" fontId="23" fillId="0" borderId="16" xfId="0" applyFont="1" applyBorder="1"/>
    <xf numFmtId="0" fontId="34" fillId="0" borderId="0" xfId="0" applyFont="1"/>
    <xf numFmtId="0" fontId="0" fillId="0" borderId="0" xfId="0"/>
    <xf numFmtId="0" fontId="35" fillId="0" borderId="0" xfId="0" applyFont="1"/>
  </cellXfs>
  <cellStyles count="4">
    <cellStyle name="Comma" xfId="1" builtinId="3"/>
    <cellStyle name="Comma 2" xfId="3" xr:uid="{F08102EA-39AA-46E4-B1F9-B6A7B9A6E770}"/>
    <cellStyle name="Hyperlink" xfId="2" builtinId="8"/>
    <cellStyle name="Normal" xfId="0" builtinId="0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hruti Gajjar" id="{0E233BD3-49FD-4239-8065-9D4810713106}" userId="4eec18b25c347ea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4-07-22T03:15:11.53" personId="{0E233BD3-49FD-4239-8065-9D4810713106}" id="{485B203F-5572-42C3-8F7D-E191F03B29DE}">
    <text>USE AVERAGE FUNCTION FOR THIS QUESTION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5"/>
  <sheetViews>
    <sheetView workbookViewId="0">
      <selection activeCell="B17" sqref="B17"/>
    </sheetView>
  </sheetViews>
  <sheetFormatPr defaultRowHeight="14.4" x14ac:dyDescent="0.3"/>
  <cols>
    <col min="2" max="2" width="47.21875" bestFit="1" customWidth="1"/>
    <col min="3" max="3" width="5.88671875" style="11" bestFit="1" customWidth="1"/>
    <col min="4" max="4" width="8.88671875" style="11"/>
    <col min="10" max="10" width="29" customWidth="1"/>
  </cols>
  <sheetData>
    <row r="1" spans="1:10" ht="15" thickBot="1" x14ac:dyDescent="0.35"/>
    <row r="2" spans="1:10" ht="16.2" thickBot="1" x14ac:dyDescent="0.35">
      <c r="B2" s="169" t="s">
        <v>638</v>
      </c>
      <c r="C2" s="170"/>
      <c r="D2" s="170"/>
      <c r="E2" s="170"/>
      <c r="F2" s="170"/>
      <c r="G2" s="170"/>
      <c r="H2" s="170"/>
      <c r="I2" s="170"/>
      <c r="J2" s="171"/>
    </row>
    <row r="6" spans="1:10" x14ac:dyDescent="0.3">
      <c r="B6" s="1" t="s">
        <v>0</v>
      </c>
      <c r="C6" s="7" t="s">
        <v>1</v>
      </c>
      <c r="D6" s="7" t="s">
        <v>2</v>
      </c>
    </row>
    <row r="7" spans="1:10" x14ac:dyDescent="0.3">
      <c r="B7" s="2" t="s">
        <v>3</v>
      </c>
      <c r="C7" s="8" t="s">
        <v>4</v>
      </c>
      <c r="D7" s="8">
        <v>43</v>
      </c>
    </row>
    <row r="8" spans="1:10" x14ac:dyDescent="0.3">
      <c r="B8" s="2" t="s">
        <v>3</v>
      </c>
      <c r="C8" s="8" t="s">
        <v>5</v>
      </c>
      <c r="D8" s="8">
        <v>59</v>
      </c>
    </row>
    <row r="9" spans="1:10" x14ac:dyDescent="0.3">
      <c r="B9" s="2" t="s">
        <v>3</v>
      </c>
      <c r="C9" s="8" t="s">
        <v>6</v>
      </c>
      <c r="D9" s="8">
        <v>72</v>
      </c>
    </row>
    <row r="10" spans="1:10" x14ac:dyDescent="0.3">
      <c r="B10" s="3" t="s">
        <v>7</v>
      </c>
      <c r="C10" s="9" t="s">
        <v>8</v>
      </c>
      <c r="D10" s="9">
        <v>119</v>
      </c>
    </row>
    <row r="11" spans="1:10" x14ac:dyDescent="0.3">
      <c r="B11" s="3" t="s">
        <v>7</v>
      </c>
      <c r="C11" s="9" t="s">
        <v>9</v>
      </c>
      <c r="D11" s="9">
        <v>175</v>
      </c>
    </row>
    <row r="12" spans="1:10" x14ac:dyDescent="0.3">
      <c r="B12" s="3" t="s">
        <v>7</v>
      </c>
      <c r="C12" s="9" t="s">
        <v>10</v>
      </c>
      <c r="D12" s="9">
        <v>192</v>
      </c>
    </row>
    <row r="13" spans="1:10" x14ac:dyDescent="0.3">
      <c r="B13" s="4" t="s">
        <v>11</v>
      </c>
      <c r="C13" s="10" t="s">
        <v>12</v>
      </c>
      <c r="D13" s="10">
        <v>240</v>
      </c>
    </row>
    <row r="14" spans="1:10" x14ac:dyDescent="0.3">
      <c r="B14" s="4" t="s">
        <v>11</v>
      </c>
      <c r="C14" s="10" t="s">
        <v>13</v>
      </c>
      <c r="D14" s="10">
        <v>405</v>
      </c>
    </row>
    <row r="15" spans="1:10" x14ac:dyDescent="0.3">
      <c r="B15" s="4" t="s">
        <v>11</v>
      </c>
      <c r="C15" s="10" t="s">
        <v>14</v>
      </c>
      <c r="D15" s="10">
        <v>522</v>
      </c>
    </row>
    <row r="17" spans="1:4" x14ac:dyDescent="0.3">
      <c r="B17" s="5" t="s">
        <v>15</v>
      </c>
    </row>
    <row r="18" spans="1:4" ht="15" thickBot="1" x14ac:dyDescent="0.35"/>
    <row r="19" spans="1:4" ht="15" thickBot="1" x14ac:dyDescent="0.35">
      <c r="A19" s="6">
        <v>1</v>
      </c>
      <c r="B19" s="6" t="s">
        <v>16</v>
      </c>
      <c r="D19" s="12">
        <f>AVERAGE(D7:D9)</f>
        <v>58</v>
      </c>
    </row>
    <row r="20" spans="1:4" ht="15" thickBot="1" x14ac:dyDescent="0.35"/>
    <row r="21" spans="1:4" ht="15" thickBot="1" x14ac:dyDescent="0.35">
      <c r="A21" s="6">
        <v>2</v>
      </c>
      <c r="B21" s="6" t="s">
        <v>17</v>
      </c>
      <c r="D21" s="12">
        <f>AVERAGE(D10:D12)</f>
        <v>162</v>
      </c>
    </row>
    <row r="22" spans="1:4" ht="15" thickBot="1" x14ac:dyDescent="0.35"/>
    <row r="23" spans="1:4" ht="15" thickBot="1" x14ac:dyDescent="0.35">
      <c r="A23" s="6">
        <v>3</v>
      </c>
      <c r="B23" s="6" t="s">
        <v>18</v>
      </c>
      <c r="D23" s="12">
        <f>AVERAGE(D13:D15)</f>
        <v>389</v>
      </c>
    </row>
    <row r="24" spans="1:4" ht="15" thickBot="1" x14ac:dyDescent="0.35"/>
    <row r="25" spans="1:4" ht="15" thickBot="1" x14ac:dyDescent="0.35">
      <c r="A25" s="6">
        <v>4</v>
      </c>
      <c r="B25" s="6" t="s">
        <v>19</v>
      </c>
      <c r="D25" s="13">
        <f>AVERAGE(D7:D15)</f>
        <v>203</v>
      </c>
    </row>
  </sheetData>
  <mergeCells count="1">
    <mergeCell ref="B2:J2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005DB-DC4A-4371-826D-79042CC90781}">
  <dimension ref="A1:E32"/>
  <sheetViews>
    <sheetView tabSelected="1" workbookViewId="0">
      <selection activeCell="A27" sqref="A27"/>
    </sheetView>
  </sheetViews>
  <sheetFormatPr defaultRowHeight="14.4" x14ac:dyDescent="0.3"/>
  <cols>
    <col min="1" max="1" width="16.33203125" customWidth="1"/>
    <col min="3" max="3" width="11.44140625" customWidth="1"/>
    <col min="4" max="4" width="1.6640625" hidden="1" customWidth="1"/>
    <col min="5" max="5" width="166" customWidth="1"/>
  </cols>
  <sheetData>
    <row r="1" spans="1:5" ht="15" customHeight="1" x14ac:dyDescent="0.3"/>
    <row r="2" spans="1:5" ht="15" customHeight="1" x14ac:dyDescent="0.35">
      <c r="E2" s="166" t="s">
        <v>639</v>
      </c>
    </row>
    <row r="3" spans="1:5" ht="15" customHeight="1" x14ac:dyDescent="0.35">
      <c r="E3" s="166" t="s">
        <v>640</v>
      </c>
    </row>
    <row r="4" spans="1:5" ht="15" customHeight="1" x14ac:dyDescent="0.35">
      <c r="E4" s="166" t="s">
        <v>641</v>
      </c>
    </row>
    <row r="5" spans="1:5" ht="15" customHeight="1" x14ac:dyDescent="0.35">
      <c r="E5" s="166" t="s">
        <v>642</v>
      </c>
    </row>
    <row r="6" spans="1:5" ht="15" customHeight="1" x14ac:dyDescent="0.3"/>
    <row r="7" spans="1:5" ht="15" customHeight="1" x14ac:dyDescent="0.3"/>
    <row r="9" spans="1:5" x14ac:dyDescent="0.3">
      <c r="A9" s="6" t="s">
        <v>20</v>
      </c>
    </row>
    <row r="10" spans="1:5" x14ac:dyDescent="0.3">
      <c r="A10" s="6" t="s">
        <v>21</v>
      </c>
    </row>
    <row r="11" spans="1:5" x14ac:dyDescent="0.3">
      <c r="A11" s="18" t="s">
        <v>22</v>
      </c>
      <c r="B11" s="18" t="s">
        <v>23</v>
      </c>
      <c r="C11" s="18" t="s">
        <v>24</v>
      </c>
    </row>
    <row r="12" spans="1:5" x14ac:dyDescent="0.3">
      <c r="A12" s="16" t="s">
        <v>25</v>
      </c>
      <c r="B12" s="17">
        <v>43101</v>
      </c>
      <c r="C12" s="16">
        <v>152</v>
      </c>
    </row>
    <row r="13" spans="1:5" x14ac:dyDescent="0.3">
      <c r="A13" s="16" t="s">
        <v>26</v>
      </c>
      <c r="B13" s="17">
        <v>43101</v>
      </c>
      <c r="C13" s="16">
        <v>171</v>
      </c>
    </row>
    <row r="14" spans="1:5" x14ac:dyDescent="0.3">
      <c r="A14" s="16" t="s">
        <v>27</v>
      </c>
      <c r="B14" s="17">
        <v>43101</v>
      </c>
      <c r="C14" s="16">
        <v>110</v>
      </c>
    </row>
    <row r="15" spans="1:5" x14ac:dyDescent="0.3">
      <c r="A15" s="16" t="s">
        <v>28</v>
      </c>
      <c r="B15" s="17">
        <v>43132</v>
      </c>
      <c r="C15" s="16">
        <v>173</v>
      </c>
    </row>
    <row r="16" spans="1:5" x14ac:dyDescent="0.3">
      <c r="A16" s="16" t="s">
        <v>29</v>
      </c>
      <c r="B16" s="17">
        <v>43132</v>
      </c>
      <c r="C16" s="16">
        <v>128</v>
      </c>
    </row>
    <row r="17" spans="1:3" x14ac:dyDescent="0.3">
      <c r="A17" s="16" t="s">
        <v>30</v>
      </c>
      <c r="B17" s="17">
        <v>43132</v>
      </c>
      <c r="C17" s="16">
        <v>107</v>
      </c>
    </row>
    <row r="18" spans="1:3" x14ac:dyDescent="0.3">
      <c r="A18" s="16" t="s">
        <v>31</v>
      </c>
      <c r="B18" s="17">
        <v>43160</v>
      </c>
      <c r="C18" s="16">
        <v>213</v>
      </c>
    </row>
    <row r="19" spans="1:3" x14ac:dyDescent="0.3">
      <c r="A19" s="16" t="s">
        <v>32</v>
      </c>
      <c r="B19" s="17">
        <v>43160</v>
      </c>
      <c r="C19" s="16">
        <v>238</v>
      </c>
    </row>
    <row r="20" spans="1:3" x14ac:dyDescent="0.3">
      <c r="A20" s="16" t="s">
        <v>33</v>
      </c>
      <c r="B20" s="17">
        <v>43160</v>
      </c>
      <c r="C20" s="16">
        <v>131</v>
      </c>
    </row>
    <row r="22" spans="1:3" x14ac:dyDescent="0.3">
      <c r="A22" s="6" t="s">
        <v>34</v>
      </c>
    </row>
    <row r="24" spans="1:3" x14ac:dyDescent="0.3">
      <c r="A24" s="14">
        <v>43101</v>
      </c>
      <c r="B24" s="19">
        <f>AVERAGE(C12:C14)</f>
        <v>144.33333333333334</v>
      </c>
      <c r="C24" s="6"/>
    </row>
    <row r="25" spans="1:3" x14ac:dyDescent="0.3">
      <c r="A25" s="14">
        <v>43132</v>
      </c>
      <c r="B25" s="19">
        <f>AVERAGE(C15:C17)</f>
        <v>136</v>
      </c>
      <c r="C25" s="6"/>
    </row>
    <row r="26" spans="1:3" x14ac:dyDescent="0.3">
      <c r="A26" s="14">
        <v>43160</v>
      </c>
      <c r="B26" s="19">
        <f>AVERAGE(C18:C20)</f>
        <v>194</v>
      </c>
      <c r="C26" s="6"/>
    </row>
    <row r="29" spans="1:3" x14ac:dyDescent="0.3">
      <c r="A29" s="6" t="s">
        <v>35</v>
      </c>
    </row>
    <row r="31" spans="1:3" x14ac:dyDescent="0.3">
      <c r="A31" s="6" t="s">
        <v>36</v>
      </c>
      <c r="B31" s="19">
        <f>SUM(C12:C20)/COUNT(C12:C20)</f>
        <v>158.11111111111111</v>
      </c>
      <c r="C31" s="6"/>
    </row>
    <row r="32" spans="1:3" x14ac:dyDescent="0.3">
      <c r="A32" s="6" t="s">
        <v>37</v>
      </c>
      <c r="B32" s="19">
        <f>AVERAGE(C12:C20)</f>
        <v>158.11111111111111</v>
      </c>
      <c r="C32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98B95-0496-4921-95C5-A0AB1D51F196}">
  <dimension ref="A2:G24"/>
  <sheetViews>
    <sheetView workbookViewId="0">
      <selection activeCell="J10" sqref="J10"/>
    </sheetView>
  </sheetViews>
  <sheetFormatPr defaultRowHeight="14.4" x14ac:dyDescent="0.3"/>
  <cols>
    <col min="2" max="2" width="18.77734375" customWidth="1"/>
  </cols>
  <sheetData>
    <row r="2" spans="1:7" ht="18" x14ac:dyDescent="0.35">
      <c r="C2" s="166" t="s">
        <v>643</v>
      </c>
    </row>
    <row r="7" spans="1:7" x14ac:dyDescent="0.3">
      <c r="A7" s="20" t="s">
        <v>38</v>
      </c>
      <c r="B7" s="21"/>
      <c r="C7" s="21"/>
      <c r="D7" s="21"/>
      <c r="E7" s="21"/>
      <c r="F7" s="21"/>
      <c r="G7" s="21"/>
    </row>
    <row r="8" spans="1:7" x14ac:dyDescent="0.3">
      <c r="A8" s="22" t="s">
        <v>39</v>
      </c>
      <c r="B8" s="21"/>
      <c r="C8" s="21"/>
      <c r="D8" s="21"/>
      <c r="E8" s="21"/>
      <c r="F8" s="21"/>
      <c r="G8" s="21"/>
    </row>
    <row r="9" spans="1:7" x14ac:dyDescent="0.3">
      <c r="A9" s="23" t="s">
        <v>40</v>
      </c>
      <c r="B9" s="24" t="s">
        <v>41</v>
      </c>
      <c r="C9" s="21"/>
      <c r="D9" s="21"/>
      <c r="E9" s="21"/>
      <c r="F9" s="21"/>
      <c r="G9" s="21"/>
    </row>
    <row r="10" spans="1:7" x14ac:dyDescent="0.3">
      <c r="A10" s="23" t="s">
        <v>42</v>
      </c>
      <c r="B10" s="25">
        <v>7</v>
      </c>
      <c r="C10" s="21"/>
      <c r="D10" s="21"/>
      <c r="E10" s="21"/>
      <c r="F10" s="21"/>
      <c r="G10" s="21"/>
    </row>
    <row r="11" spans="1:7" x14ac:dyDescent="0.3">
      <c r="A11" s="23" t="s">
        <v>43</v>
      </c>
      <c r="B11" s="25">
        <v>5</v>
      </c>
      <c r="C11" s="21"/>
      <c r="D11" s="21"/>
      <c r="E11" s="21"/>
      <c r="F11" s="21"/>
      <c r="G11" s="21"/>
    </row>
    <row r="12" spans="1:7" x14ac:dyDescent="0.3">
      <c r="A12" s="23" t="s">
        <v>44</v>
      </c>
      <c r="B12" s="25">
        <v>6</v>
      </c>
      <c r="C12" s="21"/>
      <c r="D12" s="21"/>
      <c r="E12" s="21"/>
      <c r="F12" s="21"/>
      <c r="G12" s="21"/>
    </row>
    <row r="13" spans="1:7" x14ac:dyDescent="0.3">
      <c r="A13" s="23" t="s">
        <v>45</v>
      </c>
      <c r="B13" s="25">
        <v>4</v>
      </c>
      <c r="C13" s="21"/>
      <c r="D13" s="21"/>
      <c r="E13" s="21"/>
      <c r="F13" s="21"/>
      <c r="G13" s="21"/>
    </row>
    <row r="14" spans="1:7" x14ac:dyDescent="0.3">
      <c r="A14" s="23" t="s">
        <v>46</v>
      </c>
      <c r="B14" s="25" t="s">
        <v>47</v>
      </c>
      <c r="C14" s="21"/>
      <c r="D14" s="21"/>
      <c r="E14" s="21"/>
      <c r="F14" s="21"/>
      <c r="G14" s="21"/>
    </row>
    <row r="15" spans="1:7" x14ac:dyDescent="0.3">
      <c r="A15" s="23" t="s">
        <v>48</v>
      </c>
      <c r="B15" s="25" t="s">
        <v>49</v>
      </c>
      <c r="C15" s="21"/>
      <c r="D15" s="21"/>
      <c r="E15" s="21"/>
      <c r="F15" s="21"/>
      <c r="G15" s="21"/>
    </row>
    <row r="16" spans="1:7" x14ac:dyDescent="0.3">
      <c r="A16" s="23" t="s">
        <v>50</v>
      </c>
      <c r="B16" s="25" t="s">
        <v>50</v>
      </c>
      <c r="C16" s="21"/>
      <c r="D16" s="21"/>
      <c r="E16" s="21"/>
      <c r="F16" s="21"/>
      <c r="G16" s="21"/>
    </row>
    <row r="17" spans="1:7" x14ac:dyDescent="0.3">
      <c r="A17" s="21"/>
      <c r="B17" s="21"/>
      <c r="C17" s="21"/>
      <c r="D17" s="21"/>
      <c r="E17" s="21"/>
      <c r="F17" s="21"/>
      <c r="G17" s="21"/>
    </row>
    <row r="18" spans="1:7" x14ac:dyDescent="0.3">
      <c r="A18" s="22" t="s">
        <v>51</v>
      </c>
      <c r="B18" s="21"/>
      <c r="C18" s="21"/>
      <c r="D18" s="21"/>
      <c r="E18" s="21"/>
      <c r="F18" s="21"/>
      <c r="G18" s="21"/>
    </row>
    <row r="19" spans="1:7" x14ac:dyDescent="0.3">
      <c r="A19" s="21"/>
      <c r="B19" s="21"/>
      <c r="C19" s="21"/>
      <c r="D19" s="21"/>
      <c r="E19" s="21"/>
      <c r="F19" s="21"/>
      <c r="G19" s="21"/>
    </row>
    <row r="20" spans="1:7" ht="15" thickBot="1" x14ac:dyDescent="0.35">
      <c r="A20" s="22" t="s">
        <v>52</v>
      </c>
      <c r="B20" s="22" t="s">
        <v>53</v>
      </c>
      <c r="C20" s="21"/>
      <c r="D20" s="21"/>
      <c r="E20" s="21"/>
      <c r="F20" s="21"/>
      <c r="G20" s="21"/>
    </row>
    <row r="21" spans="1:7" ht="15" thickBot="1" x14ac:dyDescent="0.35">
      <c r="A21" s="22" t="s">
        <v>41</v>
      </c>
      <c r="B21" s="26">
        <f>COUNT(B10:B13)</f>
        <v>4</v>
      </c>
      <c r="C21" s="22"/>
      <c r="D21" s="21"/>
      <c r="E21" s="21"/>
      <c r="F21" s="21"/>
      <c r="G21" s="21"/>
    </row>
    <row r="22" spans="1:7" x14ac:dyDescent="0.3">
      <c r="A22" s="21"/>
      <c r="B22" s="21"/>
      <c r="C22" s="21"/>
      <c r="D22" s="21"/>
      <c r="E22" s="21"/>
      <c r="F22" s="21"/>
      <c r="G22" s="21"/>
    </row>
    <row r="23" spans="1:7" ht="15" thickBot="1" x14ac:dyDescent="0.35">
      <c r="A23" s="22" t="s">
        <v>52</v>
      </c>
      <c r="B23" s="22" t="s">
        <v>54</v>
      </c>
      <c r="C23" s="21"/>
      <c r="D23" s="21"/>
      <c r="E23" s="21"/>
      <c r="F23" s="21"/>
      <c r="G23" s="21"/>
    </row>
    <row r="24" spans="1:7" ht="15" thickBot="1" x14ac:dyDescent="0.35">
      <c r="A24" s="22" t="s">
        <v>41</v>
      </c>
      <c r="B24" s="26">
        <f>COUNTA(B10:B16)</f>
        <v>7</v>
      </c>
      <c r="C24" s="22"/>
      <c r="D24" s="21"/>
      <c r="E24" s="21"/>
      <c r="F24" s="21"/>
      <c r="G24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0E37A-510C-4394-AA5A-2C564821C922}">
  <dimension ref="A3:G33"/>
  <sheetViews>
    <sheetView workbookViewId="0">
      <selection activeCell="C16" sqref="C16"/>
    </sheetView>
  </sheetViews>
  <sheetFormatPr defaultRowHeight="14.4" x14ac:dyDescent="0.3"/>
  <cols>
    <col min="1" max="1" width="13" customWidth="1"/>
    <col min="2" max="2" width="20.77734375" customWidth="1"/>
  </cols>
  <sheetData>
    <row r="3" spans="1:7" ht="23.4" x14ac:dyDescent="0.45">
      <c r="B3" s="167" t="s">
        <v>644</v>
      </c>
    </row>
    <row r="4" spans="1:7" ht="23.4" x14ac:dyDescent="0.45">
      <c r="B4" s="167" t="s">
        <v>645</v>
      </c>
    </row>
    <row r="6" spans="1:7" x14ac:dyDescent="0.3">
      <c r="A6" s="27" t="s">
        <v>55</v>
      </c>
      <c r="B6" s="28"/>
      <c r="C6" s="28"/>
      <c r="D6" s="28"/>
      <c r="E6" s="28"/>
      <c r="F6" s="28"/>
      <c r="G6" s="29"/>
    </row>
    <row r="7" spans="1:7" x14ac:dyDescent="0.3">
      <c r="A7" s="27" t="s">
        <v>56</v>
      </c>
      <c r="B7" s="28"/>
      <c r="C7" s="28"/>
      <c r="D7" s="28"/>
      <c r="E7" s="28"/>
      <c r="F7" s="28"/>
      <c r="G7" s="29"/>
    </row>
    <row r="8" spans="1:7" x14ac:dyDescent="0.3">
      <c r="A8" s="35" t="s">
        <v>57</v>
      </c>
      <c r="B8" s="35" t="s">
        <v>58</v>
      </c>
      <c r="C8" s="35" t="s">
        <v>59</v>
      </c>
      <c r="D8" s="28"/>
      <c r="E8" s="28"/>
      <c r="F8" s="28"/>
      <c r="G8" s="29"/>
    </row>
    <row r="9" spans="1:7" x14ac:dyDescent="0.3">
      <c r="A9" s="31">
        <v>101</v>
      </c>
      <c r="B9" s="31" t="s">
        <v>60</v>
      </c>
      <c r="C9" s="32">
        <v>78022</v>
      </c>
      <c r="D9" s="28"/>
      <c r="E9" s="28"/>
      <c r="F9" s="28"/>
      <c r="G9" s="29"/>
    </row>
    <row r="10" spans="1:7" x14ac:dyDescent="0.3">
      <c r="A10" s="31">
        <v>102</v>
      </c>
      <c r="B10" s="31" t="s">
        <v>61</v>
      </c>
      <c r="C10" s="32">
        <v>99819</v>
      </c>
      <c r="D10" s="28"/>
      <c r="E10" s="28"/>
      <c r="F10" s="28"/>
      <c r="G10" s="29"/>
    </row>
    <row r="11" spans="1:7" x14ac:dyDescent="0.3">
      <c r="A11" s="31">
        <v>103</v>
      </c>
      <c r="B11" s="31" t="s">
        <v>62</v>
      </c>
      <c r="C11" s="33" t="s">
        <v>63</v>
      </c>
      <c r="D11" s="28"/>
      <c r="E11" s="28"/>
      <c r="F11" s="28"/>
      <c r="G11" s="29"/>
    </row>
    <row r="12" spans="1:7" x14ac:dyDescent="0.3">
      <c r="A12" s="31">
        <v>104</v>
      </c>
      <c r="B12" s="31" t="s">
        <v>64</v>
      </c>
      <c r="C12" s="32">
        <v>27522</v>
      </c>
      <c r="D12" s="28"/>
      <c r="E12" s="28"/>
      <c r="F12" s="28"/>
      <c r="G12" s="29"/>
    </row>
    <row r="13" spans="1:7" x14ac:dyDescent="0.3">
      <c r="A13" s="31">
        <v>105</v>
      </c>
      <c r="B13" s="31" t="s">
        <v>65</v>
      </c>
      <c r="C13" s="34">
        <v>0</v>
      </c>
      <c r="D13" s="28"/>
      <c r="E13" s="28"/>
      <c r="F13" s="28"/>
      <c r="G13" s="29"/>
    </row>
    <row r="14" spans="1:7" x14ac:dyDescent="0.3">
      <c r="A14" s="31">
        <v>106</v>
      </c>
      <c r="B14" s="31" t="s">
        <v>66</v>
      </c>
      <c r="C14" s="34"/>
      <c r="D14" s="28"/>
      <c r="E14" s="28"/>
      <c r="F14" s="28"/>
      <c r="G14" s="29"/>
    </row>
    <row r="15" spans="1:7" x14ac:dyDescent="0.3">
      <c r="A15" s="31">
        <v>107</v>
      </c>
      <c r="B15" s="31" t="s">
        <v>67</v>
      </c>
      <c r="C15" s="34">
        <v>0</v>
      </c>
      <c r="D15" s="28"/>
      <c r="E15" s="28"/>
      <c r="F15" s="28"/>
      <c r="G15" s="29"/>
    </row>
    <row r="16" spans="1:7" x14ac:dyDescent="0.3">
      <c r="A16" s="31">
        <v>108</v>
      </c>
      <c r="B16" s="31" t="s">
        <v>68</v>
      </c>
      <c r="C16" s="32">
        <v>88041</v>
      </c>
      <c r="D16" s="28"/>
      <c r="E16" s="28"/>
      <c r="F16" s="28"/>
      <c r="G16" s="29"/>
    </row>
    <row r="17" spans="1:7" x14ac:dyDescent="0.3">
      <c r="A17" s="31">
        <v>109</v>
      </c>
      <c r="B17" s="31" t="s">
        <v>69</v>
      </c>
      <c r="C17" s="32">
        <v>81831</v>
      </c>
      <c r="D17" s="28"/>
      <c r="E17" s="28"/>
      <c r="F17" s="28"/>
      <c r="G17" s="29"/>
    </row>
    <row r="18" spans="1:7" x14ac:dyDescent="0.3">
      <c r="A18" s="31">
        <v>110</v>
      </c>
      <c r="B18" s="31" t="s">
        <v>70</v>
      </c>
      <c r="C18" s="33" t="s">
        <v>63</v>
      </c>
      <c r="D18" s="28"/>
      <c r="E18" s="28"/>
      <c r="F18" s="28"/>
      <c r="G18" s="29"/>
    </row>
    <row r="19" spans="1:7" x14ac:dyDescent="0.3">
      <c r="A19" s="31">
        <v>111</v>
      </c>
      <c r="B19" s="31" t="s">
        <v>71</v>
      </c>
      <c r="C19" s="32"/>
      <c r="D19" s="28"/>
      <c r="E19" s="28"/>
      <c r="F19" s="28"/>
      <c r="G19" s="29"/>
    </row>
    <row r="20" spans="1:7" x14ac:dyDescent="0.3">
      <c r="A20" s="31">
        <v>112</v>
      </c>
      <c r="B20" s="31" t="s">
        <v>72</v>
      </c>
      <c r="C20" s="32">
        <v>26624</v>
      </c>
      <c r="D20" s="28"/>
      <c r="E20" s="28"/>
      <c r="F20" s="28"/>
      <c r="G20" s="29"/>
    </row>
    <row r="21" spans="1:7" x14ac:dyDescent="0.3">
      <c r="A21" s="31">
        <v>113</v>
      </c>
      <c r="B21" s="31" t="s">
        <v>73</v>
      </c>
      <c r="C21" s="32">
        <v>92885</v>
      </c>
      <c r="D21" s="28"/>
      <c r="E21" s="28"/>
      <c r="F21" s="28"/>
      <c r="G21" s="29"/>
    </row>
    <row r="22" spans="1:7" x14ac:dyDescent="0.3">
      <c r="A22" s="31">
        <v>114</v>
      </c>
      <c r="B22" s="31" t="s">
        <v>74</v>
      </c>
      <c r="C22" s="34">
        <v>0</v>
      </c>
      <c r="D22" s="28"/>
      <c r="E22" s="28"/>
      <c r="F22" s="28"/>
      <c r="G22" s="29"/>
    </row>
    <row r="23" spans="1:7" x14ac:dyDescent="0.3">
      <c r="A23" s="28"/>
      <c r="B23" s="28"/>
      <c r="C23" s="28"/>
      <c r="D23" s="28"/>
      <c r="E23" s="28"/>
      <c r="F23" s="28"/>
      <c r="G23" s="29"/>
    </row>
    <row r="24" spans="1:7" x14ac:dyDescent="0.3">
      <c r="A24" s="27" t="s">
        <v>75</v>
      </c>
      <c r="B24" s="28"/>
      <c r="C24" s="28"/>
      <c r="D24" s="28"/>
      <c r="E24" s="28"/>
      <c r="F24" s="28"/>
      <c r="G24" s="29"/>
    </row>
    <row r="25" spans="1:7" ht="15" thickBot="1" x14ac:dyDescent="0.35">
      <c r="A25" s="28" t="s">
        <v>52</v>
      </c>
      <c r="B25" s="28" t="s">
        <v>76</v>
      </c>
      <c r="C25" s="28"/>
      <c r="D25" s="28"/>
      <c r="E25" s="28"/>
      <c r="F25" s="28"/>
      <c r="G25" s="29"/>
    </row>
    <row r="26" spans="1:7" ht="15" thickBot="1" x14ac:dyDescent="0.35">
      <c r="A26" s="28" t="s">
        <v>41</v>
      </c>
      <c r="B26" s="30">
        <f>COUNT(C9:C22)</f>
        <v>10</v>
      </c>
      <c r="C26" s="28"/>
      <c r="D26" s="28"/>
      <c r="E26" s="28"/>
      <c r="F26" s="28"/>
      <c r="G26" s="29"/>
    </row>
    <row r="27" spans="1:7" x14ac:dyDescent="0.3">
      <c r="A27" s="28"/>
      <c r="B27" s="28"/>
      <c r="C27" s="28"/>
      <c r="D27" s="28"/>
      <c r="E27" s="28"/>
      <c r="F27" s="28"/>
      <c r="G27" s="29"/>
    </row>
    <row r="28" spans="1:7" x14ac:dyDescent="0.3">
      <c r="A28" s="28"/>
      <c r="B28" s="28" t="s">
        <v>77</v>
      </c>
      <c r="C28" s="28"/>
      <c r="D28" s="28"/>
      <c r="E28" s="28"/>
      <c r="F28" s="28"/>
      <c r="G28" s="29"/>
    </row>
    <row r="29" spans="1:7" x14ac:dyDescent="0.3">
      <c r="A29" s="28"/>
      <c r="B29" s="28"/>
      <c r="C29" s="28"/>
      <c r="D29" s="28"/>
      <c r="E29" s="28"/>
      <c r="F29" s="28"/>
      <c r="G29" s="29"/>
    </row>
    <row r="30" spans="1:7" x14ac:dyDescent="0.3">
      <c r="A30" s="28"/>
      <c r="B30" s="28"/>
      <c r="C30" s="28"/>
      <c r="D30" s="28"/>
      <c r="E30" s="28"/>
      <c r="F30" s="28"/>
      <c r="G30" s="29"/>
    </row>
    <row r="31" spans="1:7" ht="15" thickBot="1" x14ac:dyDescent="0.35">
      <c r="A31" s="28" t="s">
        <v>52</v>
      </c>
      <c r="B31" s="28" t="s">
        <v>78</v>
      </c>
      <c r="C31" s="28"/>
      <c r="D31" s="28"/>
      <c r="E31" s="28"/>
      <c r="F31" s="28"/>
      <c r="G31" s="29"/>
    </row>
    <row r="32" spans="1:7" ht="15" thickBot="1" x14ac:dyDescent="0.35">
      <c r="A32" s="28" t="s">
        <v>41</v>
      </c>
      <c r="B32" s="30">
        <f>COUNTA(C9:C22)</f>
        <v>12</v>
      </c>
      <c r="C32" s="28"/>
      <c r="D32" s="28"/>
      <c r="E32" s="28"/>
      <c r="F32" s="28"/>
      <c r="G32" s="29"/>
    </row>
    <row r="33" spans="1:7" x14ac:dyDescent="0.3">
      <c r="A33" s="29"/>
      <c r="B33" s="29"/>
      <c r="C33" s="29"/>
      <c r="D33" s="29"/>
      <c r="E33" s="29"/>
      <c r="F33" s="29"/>
      <c r="G3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17260-5751-4040-AA4E-7BB51A8930B4}">
  <dimension ref="A2:F32"/>
  <sheetViews>
    <sheetView topLeftCell="A3" workbookViewId="0">
      <selection activeCell="G12" sqref="G12"/>
    </sheetView>
  </sheetViews>
  <sheetFormatPr defaultRowHeight="14.4" x14ac:dyDescent="0.3"/>
  <cols>
    <col min="1" max="1" width="4" customWidth="1"/>
    <col min="2" max="2" width="12.88671875" customWidth="1"/>
  </cols>
  <sheetData>
    <row r="2" spans="1:6" ht="23.4" x14ac:dyDescent="0.45">
      <c r="B2" s="167" t="s">
        <v>646</v>
      </c>
    </row>
    <row r="5" spans="1:6" x14ac:dyDescent="0.3">
      <c r="A5" s="21"/>
      <c r="B5" s="22" t="s">
        <v>79</v>
      </c>
      <c r="C5" s="21"/>
      <c r="D5" s="21"/>
      <c r="E5" s="21"/>
      <c r="F5" s="21"/>
    </row>
    <row r="6" spans="1:6" ht="15" thickBot="1" x14ac:dyDescent="0.35">
      <c r="A6" s="21"/>
      <c r="B6" s="21"/>
      <c r="C6" s="21"/>
      <c r="D6" s="21"/>
      <c r="E6" s="21"/>
      <c r="F6" s="21"/>
    </row>
    <row r="7" spans="1:6" x14ac:dyDescent="0.3">
      <c r="A7" s="21"/>
      <c r="B7" s="36"/>
      <c r="C7" s="21"/>
      <c r="D7" s="21"/>
      <c r="E7" s="21"/>
      <c r="F7" s="21"/>
    </row>
    <row r="8" spans="1:6" x14ac:dyDescent="0.3">
      <c r="A8" s="21"/>
      <c r="B8" s="37" t="s">
        <v>80</v>
      </c>
      <c r="C8" s="21"/>
      <c r="D8" s="21"/>
      <c r="E8" s="21"/>
      <c r="F8" s="21"/>
    </row>
    <row r="9" spans="1:6" x14ac:dyDescent="0.3">
      <c r="A9" s="21"/>
      <c r="B9" s="37">
        <v>4</v>
      </c>
      <c r="C9" s="21"/>
      <c r="D9" s="21"/>
      <c r="E9" s="21"/>
      <c r="F9" s="21"/>
    </row>
    <row r="10" spans="1:6" x14ac:dyDescent="0.3">
      <c r="A10" s="21"/>
      <c r="B10" s="37"/>
      <c r="C10" s="21"/>
      <c r="D10" s="21"/>
      <c r="E10" s="21"/>
      <c r="F10" s="21"/>
    </row>
    <row r="11" spans="1:6" x14ac:dyDescent="0.3">
      <c r="A11" s="21"/>
      <c r="B11" s="37">
        <v>3</v>
      </c>
      <c r="C11" s="21"/>
      <c r="D11" s="21"/>
      <c r="E11" s="21"/>
      <c r="F11" s="21"/>
    </row>
    <row r="12" spans="1:6" x14ac:dyDescent="0.3">
      <c r="A12" s="21"/>
      <c r="B12" s="37"/>
      <c r="C12" s="21"/>
      <c r="D12" s="21"/>
      <c r="E12" s="21"/>
      <c r="F12" s="21"/>
    </row>
    <row r="13" spans="1:6" x14ac:dyDescent="0.3">
      <c r="A13" s="21"/>
      <c r="B13" s="37" t="s">
        <v>81</v>
      </c>
      <c r="C13" s="21"/>
      <c r="D13" s="21"/>
      <c r="E13" s="21"/>
      <c r="F13" s="21"/>
    </row>
    <row r="14" spans="1:6" x14ac:dyDescent="0.3">
      <c r="A14" s="21"/>
      <c r="B14" s="37"/>
      <c r="C14" s="21"/>
      <c r="D14" s="21"/>
      <c r="E14" s="21"/>
      <c r="F14" s="21"/>
    </row>
    <row r="15" spans="1:6" x14ac:dyDescent="0.3">
      <c r="A15" s="21"/>
      <c r="B15" s="37" t="e">
        <v>#DIV/0!</v>
      </c>
      <c r="C15" s="21"/>
      <c r="D15" s="21"/>
      <c r="E15" s="21"/>
      <c r="F15" s="21"/>
    </row>
    <row r="16" spans="1:6" x14ac:dyDescent="0.3">
      <c r="A16" s="21"/>
      <c r="B16" s="37" t="s">
        <v>82</v>
      </c>
      <c r="C16" s="21"/>
      <c r="D16" s="21"/>
      <c r="E16" s="21"/>
      <c r="F16" s="21"/>
    </row>
    <row r="17" spans="1:6" ht="15" thickBot="1" x14ac:dyDescent="0.35">
      <c r="A17" s="21"/>
      <c r="B17" s="38" t="s">
        <v>83</v>
      </c>
      <c r="C17" s="21"/>
      <c r="D17" s="21"/>
      <c r="E17" s="21"/>
      <c r="F17" s="21"/>
    </row>
    <row r="18" spans="1:6" x14ac:dyDescent="0.3">
      <c r="A18" s="21"/>
      <c r="B18" s="21"/>
      <c r="C18" s="21"/>
      <c r="D18" s="21"/>
      <c r="E18" s="21"/>
      <c r="F18" s="21"/>
    </row>
    <row r="19" spans="1:6" x14ac:dyDescent="0.3">
      <c r="A19" s="21"/>
      <c r="B19" s="22" t="s">
        <v>84</v>
      </c>
      <c r="C19" s="21"/>
      <c r="D19" s="21"/>
      <c r="E19" s="21"/>
      <c r="F19" s="21"/>
    </row>
    <row r="20" spans="1:6" x14ac:dyDescent="0.3">
      <c r="A20" s="21"/>
      <c r="B20" s="21"/>
      <c r="C20" s="21"/>
      <c r="D20" s="21"/>
      <c r="E20" s="21"/>
      <c r="F20" s="21"/>
    </row>
    <row r="21" spans="1:6" x14ac:dyDescent="0.3">
      <c r="A21" s="22">
        <v>1</v>
      </c>
      <c r="B21" s="22" t="s">
        <v>85</v>
      </c>
      <c r="C21" s="21"/>
      <c r="D21" s="21"/>
      <c r="E21" s="21"/>
      <c r="F21" s="21"/>
    </row>
    <row r="22" spans="1:6" x14ac:dyDescent="0.3">
      <c r="A22" s="21"/>
      <c r="B22" s="39">
        <f>COUNT(B8:B17)</f>
        <v>2</v>
      </c>
      <c r="C22" s="22"/>
      <c r="D22" s="21"/>
      <c r="E22" s="21"/>
      <c r="F22" s="21"/>
    </row>
    <row r="23" spans="1:6" x14ac:dyDescent="0.3">
      <c r="A23" s="21"/>
      <c r="B23" s="21"/>
      <c r="C23" s="21"/>
      <c r="D23" s="21"/>
      <c r="E23" s="21"/>
      <c r="F23" s="21"/>
    </row>
    <row r="24" spans="1:6" x14ac:dyDescent="0.3">
      <c r="A24" s="22">
        <v>2</v>
      </c>
      <c r="B24" s="22" t="s">
        <v>86</v>
      </c>
      <c r="C24" s="21"/>
      <c r="D24" s="21"/>
      <c r="E24" s="21"/>
      <c r="F24" s="21"/>
    </row>
    <row r="25" spans="1:6" x14ac:dyDescent="0.3">
      <c r="A25" s="21"/>
      <c r="B25" s="39">
        <f>COUNTBLANK(B8:B17)</f>
        <v>3</v>
      </c>
      <c r="C25" s="22"/>
      <c r="D25" s="21"/>
      <c r="E25" s="21"/>
      <c r="F25" s="21"/>
    </row>
    <row r="26" spans="1:6" x14ac:dyDescent="0.3">
      <c r="A26" s="21"/>
      <c r="B26" s="21"/>
      <c r="C26" s="21"/>
      <c r="D26" s="21"/>
      <c r="E26" s="21"/>
      <c r="F26" s="21"/>
    </row>
    <row r="27" spans="1:6" x14ac:dyDescent="0.3">
      <c r="A27" s="22">
        <v>3</v>
      </c>
      <c r="B27" s="22" t="s">
        <v>87</v>
      </c>
      <c r="C27" s="21"/>
      <c r="D27" s="21"/>
      <c r="E27" s="21"/>
      <c r="F27" s="21"/>
    </row>
    <row r="28" spans="1:6" x14ac:dyDescent="0.3">
      <c r="A28" s="21"/>
      <c r="B28" s="39">
        <f>COUNTA(B8:B17)-COUNT(B8:B17)</f>
        <v>5</v>
      </c>
      <c r="C28" s="22"/>
      <c r="D28" s="21"/>
      <c r="E28" s="21"/>
      <c r="F28" s="21"/>
    </row>
    <row r="29" spans="1:6" x14ac:dyDescent="0.3">
      <c r="A29" s="21"/>
      <c r="B29" s="21"/>
      <c r="C29" s="21"/>
      <c r="D29" s="21"/>
      <c r="E29" s="21"/>
      <c r="F29" s="21"/>
    </row>
    <row r="30" spans="1:6" x14ac:dyDescent="0.3">
      <c r="A30" s="22">
        <v>4</v>
      </c>
      <c r="B30" s="22" t="s">
        <v>88</v>
      </c>
      <c r="C30" s="21"/>
      <c r="D30" s="21"/>
      <c r="E30" s="21"/>
      <c r="F30" s="21"/>
    </row>
    <row r="31" spans="1:6" x14ac:dyDescent="0.3">
      <c r="B31" s="39">
        <f>COUNTA(B8:B17)+COUNTBLANK(B8:B17)</f>
        <v>10</v>
      </c>
      <c r="C31" s="22"/>
      <c r="D31" s="21"/>
      <c r="E31" s="21"/>
      <c r="F31" s="21"/>
    </row>
    <row r="32" spans="1:6" x14ac:dyDescent="0.3">
      <c r="A32" s="21"/>
      <c r="B32" s="21"/>
      <c r="C32" s="21"/>
      <c r="D32" s="21"/>
      <c r="E32" s="21"/>
      <c r="F32" s="2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C9BC0-AC3A-4F0E-A35B-BEE16262BB1F}">
  <dimension ref="A2:N46"/>
  <sheetViews>
    <sheetView workbookViewId="0">
      <selection activeCell="A4" sqref="A4:XFD5"/>
    </sheetView>
  </sheetViews>
  <sheetFormatPr defaultRowHeight="14.4" x14ac:dyDescent="0.3"/>
  <cols>
    <col min="2" max="2" width="19.109375" customWidth="1"/>
  </cols>
  <sheetData>
    <row r="2" spans="1:14" ht="23.4" x14ac:dyDescent="0.45">
      <c r="B2" s="167" t="s">
        <v>647</v>
      </c>
    </row>
    <row r="4" spans="1:14" x14ac:dyDescent="0.3">
      <c r="A4" s="28"/>
      <c r="B4" s="40" t="s">
        <v>89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4" x14ac:dyDescent="0.3">
      <c r="A5" s="28"/>
      <c r="B5" s="41" t="s">
        <v>90</v>
      </c>
      <c r="C5" s="41">
        <v>101</v>
      </c>
      <c r="D5" s="41">
        <v>102</v>
      </c>
      <c r="E5" s="41">
        <v>103</v>
      </c>
      <c r="F5" s="41">
        <v>104</v>
      </c>
      <c r="G5" s="41">
        <v>105</v>
      </c>
      <c r="H5" s="41">
        <v>106</v>
      </c>
      <c r="I5" s="41">
        <v>107</v>
      </c>
      <c r="J5" s="41">
        <v>108</v>
      </c>
      <c r="K5" s="41">
        <v>109</v>
      </c>
      <c r="L5" s="41">
        <v>110</v>
      </c>
      <c r="M5" s="28"/>
      <c r="N5" s="28"/>
    </row>
    <row r="6" spans="1:14" x14ac:dyDescent="0.3">
      <c r="A6" s="28"/>
      <c r="B6" s="41" t="s">
        <v>91</v>
      </c>
      <c r="C6" s="42" t="s">
        <v>92</v>
      </c>
      <c r="D6" s="42" t="s">
        <v>93</v>
      </c>
      <c r="E6" s="42" t="s">
        <v>94</v>
      </c>
      <c r="F6" s="42" t="s">
        <v>95</v>
      </c>
      <c r="G6" s="42" t="s">
        <v>96</v>
      </c>
      <c r="H6" s="42" t="s">
        <v>97</v>
      </c>
      <c r="I6" s="42" t="s">
        <v>98</v>
      </c>
      <c r="J6" s="42" t="s">
        <v>99</v>
      </c>
      <c r="K6" s="42" t="s">
        <v>100</v>
      </c>
      <c r="L6" s="42" t="s">
        <v>101</v>
      </c>
      <c r="M6" s="28"/>
      <c r="N6" s="28"/>
    </row>
    <row r="7" spans="1:14" x14ac:dyDescent="0.3">
      <c r="A7" s="28"/>
      <c r="B7" s="41" t="s">
        <v>102</v>
      </c>
      <c r="C7" s="42" t="s">
        <v>103</v>
      </c>
      <c r="D7" s="42" t="s">
        <v>104</v>
      </c>
      <c r="E7" s="42" t="s">
        <v>105</v>
      </c>
      <c r="F7" s="42" t="s">
        <v>106</v>
      </c>
      <c r="G7" s="42" t="s">
        <v>103</v>
      </c>
      <c r="H7" s="42" t="s">
        <v>104</v>
      </c>
      <c r="I7" s="42" t="s">
        <v>105</v>
      </c>
      <c r="J7" s="42" t="s">
        <v>106</v>
      </c>
      <c r="K7" s="42" t="s">
        <v>103</v>
      </c>
      <c r="L7" s="42" t="s">
        <v>104</v>
      </c>
      <c r="M7" s="28"/>
      <c r="N7" s="28"/>
    </row>
    <row r="8" spans="1:14" x14ac:dyDescent="0.3">
      <c r="A8" s="28"/>
      <c r="B8" s="41" t="s">
        <v>107</v>
      </c>
      <c r="C8" s="42">
        <v>50000</v>
      </c>
      <c r="D8" s="42">
        <v>55000</v>
      </c>
      <c r="E8" s="42">
        <v>60000</v>
      </c>
      <c r="F8" s="42">
        <v>65000</v>
      </c>
      <c r="G8" s="42">
        <v>70000</v>
      </c>
      <c r="H8" s="42">
        <v>75000</v>
      </c>
      <c r="I8" s="42">
        <v>80000</v>
      </c>
      <c r="J8" s="42">
        <v>85000</v>
      </c>
      <c r="K8" s="42">
        <v>90000</v>
      </c>
      <c r="L8" s="42">
        <v>95000</v>
      </c>
      <c r="M8" s="28"/>
      <c r="N8" s="28"/>
    </row>
    <row r="9" spans="1:14" x14ac:dyDescent="0.3">
      <c r="A9" s="28"/>
      <c r="B9" s="41" t="s">
        <v>108</v>
      </c>
      <c r="C9" s="42">
        <v>2000</v>
      </c>
      <c r="D9" s="42">
        <v>2500</v>
      </c>
      <c r="E9" s="42">
        <v>3000</v>
      </c>
      <c r="F9" s="42">
        <v>3500</v>
      </c>
      <c r="G9" s="42">
        <v>4000</v>
      </c>
      <c r="H9" s="42">
        <v>4500</v>
      </c>
      <c r="I9" s="42">
        <v>5000</v>
      </c>
      <c r="J9" s="42">
        <v>5500</v>
      </c>
      <c r="K9" s="42">
        <v>6000</v>
      </c>
      <c r="L9" s="42">
        <v>6500</v>
      </c>
      <c r="M9" s="28"/>
      <c r="N9" s="28"/>
    </row>
    <row r="10" spans="1:14" x14ac:dyDescent="0.3">
      <c r="A10" s="28"/>
      <c r="B10" s="41" t="s">
        <v>109</v>
      </c>
      <c r="C10" s="42">
        <v>52000</v>
      </c>
      <c r="D10" s="42">
        <v>57500</v>
      </c>
      <c r="E10" s="42">
        <v>63000</v>
      </c>
      <c r="F10" s="42">
        <v>685000</v>
      </c>
      <c r="G10" s="42">
        <v>74000</v>
      </c>
      <c r="H10" s="42">
        <v>79500</v>
      </c>
      <c r="I10" s="42">
        <v>85000</v>
      </c>
      <c r="J10" s="42">
        <v>90500</v>
      </c>
      <c r="K10" s="42">
        <v>96000</v>
      </c>
      <c r="L10" s="42">
        <v>101500</v>
      </c>
      <c r="M10" s="28"/>
      <c r="N10" s="28"/>
    </row>
    <row r="11" spans="1:14" x14ac:dyDescent="0.3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4" x14ac:dyDescent="0.3">
      <c r="A12" s="27">
        <v>1</v>
      </c>
      <c r="B12" s="40" t="s">
        <v>110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4" x14ac:dyDescent="0.3">
      <c r="A13" s="27"/>
      <c r="B13" s="28"/>
      <c r="C13" s="40"/>
      <c r="D13" s="40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4" x14ac:dyDescent="0.3">
      <c r="A14" s="27"/>
      <c r="B14" s="28" t="s">
        <v>111</v>
      </c>
      <c r="C14" s="43" t="str">
        <f>HLOOKUP(D5,B5:L10,3)</f>
        <v>Marketing</v>
      </c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1:14" x14ac:dyDescent="0.3">
      <c r="A15" s="27"/>
      <c r="B15" s="40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1:14" x14ac:dyDescent="0.3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 x14ac:dyDescent="0.3">
      <c r="A17" s="27"/>
      <c r="B17" s="44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1:14" x14ac:dyDescent="0.3">
      <c r="A18" s="27"/>
      <c r="B18" s="44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 x14ac:dyDescent="0.3">
      <c r="A19" s="27"/>
      <c r="B19" s="44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 x14ac:dyDescent="0.3">
      <c r="A20" s="27"/>
      <c r="B20" s="44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 x14ac:dyDescent="0.3">
      <c r="A21" s="27"/>
      <c r="B21" s="44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 x14ac:dyDescent="0.3">
      <c r="A23" s="27">
        <v>2</v>
      </c>
      <c r="B23" s="40" t="s">
        <v>112</v>
      </c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</row>
    <row r="24" spans="1:14" x14ac:dyDescent="0.3">
      <c r="A24" s="27"/>
      <c r="B24" s="28"/>
      <c r="C24" s="40"/>
      <c r="D24" s="40"/>
      <c r="E24" s="28"/>
      <c r="F24" s="28"/>
      <c r="G24" s="28"/>
      <c r="H24" s="28"/>
      <c r="I24" s="28"/>
      <c r="J24" s="28"/>
      <c r="K24" s="28"/>
      <c r="L24" s="28"/>
      <c r="M24" s="28"/>
      <c r="N24" s="28"/>
    </row>
    <row r="25" spans="1:14" x14ac:dyDescent="0.3">
      <c r="A25" s="27"/>
      <c r="B25" s="28" t="s">
        <v>111</v>
      </c>
      <c r="C25" s="43">
        <f>HLOOKUP(G5,B5:L10,4,0)</f>
        <v>70000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4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4" x14ac:dyDescent="0.3">
      <c r="A27" s="27"/>
      <c r="B27" s="40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4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4" x14ac:dyDescent="0.3">
      <c r="A29" s="27"/>
      <c r="B29" s="44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</row>
    <row r="30" spans="1:14" x14ac:dyDescent="0.3">
      <c r="A30" s="27"/>
      <c r="B30" s="44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</row>
    <row r="31" spans="1:14" x14ac:dyDescent="0.3">
      <c r="A31" s="27"/>
      <c r="B31" s="44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</row>
    <row r="32" spans="1:14" x14ac:dyDescent="0.3">
      <c r="A32" s="27"/>
      <c r="B32" s="44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3" spans="1:14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x14ac:dyDescent="0.3">
      <c r="A34" s="27">
        <v>3</v>
      </c>
      <c r="B34" s="40" t="s">
        <v>113</v>
      </c>
      <c r="C34" s="40"/>
      <c r="D34" s="40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x14ac:dyDescent="0.3">
      <c r="A35" s="27"/>
      <c r="B35" s="27" t="s">
        <v>111</v>
      </c>
      <c r="C35" s="43">
        <f>HLOOKUP(I5,B5:L10,6,0)</f>
        <v>85000</v>
      </c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</row>
    <row r="36" spans="1:14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</row>
    <row r="37" spans="1:14" x14ac:dyDescent="0.3">
      <c r="A37" s="27"/>
      <c r="B37" s="40" t="s">
        <v>114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</row>
    <row r="38" spans="1:14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39" spans="1:14" x14ac:dyDescent="0.3">
      <c r="A39" s="27"/>
      <c r="B39" s="44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</row>
    <row r="40" spans="1:14" x14ac:dyDescent="0.3">
      <c r="A40" s="27"/>
      <c r="B40" s="44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</row>
    <row r="41" spans="1:14" x14ac:dyDescent="0.3">
      <c r="A41" s="27"/>
      <c r="B41" s="44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</row>
    <row r="42" spans="1:14" x14ac:dyDescent="0.3">
      <c r="A42" s="27"/>
      <c r="B42" s="44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</row>
    <row r="43" spans="1:14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</row>
    <row r="44" spans="1:14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45" spans="1:14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</row>
    <row r="46" spans="1:14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66F82-E5D3-4B08-BBDE-228BCD3B2267}">
  <dimension ref="A2:E14"/>
  <sheetViews>
    <sheetView workbookViewId="0">
      <selection activeCell="F12" sqref="F12"/>
    </sheetView>
  </sheetViews>
  <sheetFormatPr defaultRowHeight="14.4" x14ac:dyDescent="0.3"/>
  <cols>
    <col min="3" max="3" width="10" customWidth="1"/>
  </cols>
  <sheetData>
    <row r="2" spans="1:5" ht="18" x14ac:dyDescent="0.35">
      <c r="B2" s="166" t="s">
        <v>648</v>
      </c>
    </row>
    <row r="4" spans="1:5" x14ac:dyDescent="0.3">
      <c r="A4" s="45" t="s">
        <v>115</v>
      </c>
      <c r="B4" s="29"/>
      <c r="C4" s="29"/>
      <c r="D4" s="29"/>
      <c r="E4" s="29"/>
    </row>
    <row r="5" spans="1:5" x14ac:dyDescent="0.3">
      <c r="A5" s="6" t="s">
        <v>116</v>
      </c>
      <c r="B5" s="29"/>
      <c r="C5" s="29"/>
      <c r="D5" s="29"/>
      <c r="E5" s="29"/>
    </row>
    <row r="6" spans="1:5" x14ac:dyDescent="0.3">
      <c r="A6" s="6" t="s">
        <v>117</v>
      </c>
      <c r="B6" s="29"/>
      <c r="C6" s="29"/>
      <c r="D6" s="29"/>
      <c r="E6" s="29"/>
    </row>
    <row r="7" spans="1:5" x14ac:dyDescent="0.3">
      <c r="A7" s="6" t="s">
        <v>118</v>
      </c>
      <c r="B7" s="29"/>
      <c r="C7" s="29"/>
      <c r="D7" s="29"/>
      <c r="E7" s="29"/>
    </row>
    <row r="8" spans="1:5" x14ac:dyDescent="0.3">
      <c r="A8" s="29"/>
      <c r="B8" s="29"/>
      <c r="C8" s="29"/>
      <c r="D8" s="29"/>
      <c r="E8" s="29"/>
    </row>
    <row r="9" spans="1:5" x14ac:dyDescent="0.3">
      <c r="A9" s="46" t="s">
        <v>1</v>
      </c>
      <c r="B9" s="46" t="s">
        <v>119</v>
      </c>
      <c r="C9" s="46" t="s">
        <v>120</v>
      </c>
      <c r="D9" s="29"/>
      <c r="E9" s="29"/>
    </row>
    <row r="10" spans="1:5" x14ac:dyDescent="0.3">
      <c r="A10" s="1" t="s">
        <v>121</v>
      </c>
      <c r="B10" s="1">
        <v>98</v>
      </c>
      <c r="C10" s="47" t="str" cm="1">
        <f t="array" ref="C10:C13">IF(B10:B13&gt;60,"PASS","FAIL")</f>
        <v>PASS</v>
      </c>
      <c r="D10" s="6"/>
      <c r="E10" s="29"/>
    </row>
    <row r="11" spans="1:5" x14ac:dyDescent="0.3">
      <c r="A11" s="1" t="s">
        <v>122</v>
      </c>
      <c r="B11" s="1">
        <v>55</v>
      </c>
      <c r="C11" s="47" t="str">
        <v>FAIL</v>
      </c>
      <c r="D11" s="6"/>
      <c r="E11" s="29"/>
    </row>
    <row r="12" spans="1:5" x14ac:dyDescent="0.3">
      <c r="A12" s="1" t="s">
        <v>123</v>
      </c>
      <c r="B12" s="1">
        <v>15</v>
      </c>
      <c r="C12" s="47" t="str">
        <v>FAIL</v>
      </c>
      <c r="D12" s="6"/>
      <c r="E12" s="29"/>
    </row>
    <row r="13" spans="1:5" x14ac:dyDescent="0.3">
      <c r="A13" s="1" t="s">
        <v>124</v>
      </c>
      <c r="B13" s="1">
        <v>60</v>
      </c>
      <c r="C13" s="47" t="str">
        <v>FAIL</v>
      </c>
      <c r="D13" s="6"/>
      <c r="E13" s="29"/>
    </row>
    <row r="14" spans="1:5" x14ac:dyDescent="0.3">
      <c r="A14" s="29"/>
      <c r="B14" s="29"/>
      <c r="C14" s="29"/>
      <c r="D14" s="29"/>
      <c r="E14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14E74-ABB1-4B63-ACAF-CC28B2A4A9A8}">
  <dimension ref="A2:H16"/>
  <sheetViews>
    <sheetView topLeftCell="A2" workbookViewId="0">
      <selection activeCell="H18" sqref="H18"/>
    </sheetView>
  </sheetViews>
  <sheetFormatPr defaultRowHeight="14.4" x14ac:dyDescent="0.3"/>
  <cols>
    <col min="1" max="1" width="11.21875" customWidth="1"/>
    <col min="4" max="4" width="12.33203125" customWidth="1"/>
  </cols>
  <sheetData>
    <row r="2" spans="1:8" ht="21" x14ac:dyDescent="0.4">
      <c r="B2" s="168" t="s">
        <v>649</v>
      </c>
      <c r="C2" s="168"/>
      <c r="D2" s="168"/>
      <c r="E2" s="168"/>
      <c r="F2" s="168"/>
      <c r="G2" s="168"/>
      <c r="H2" s="168"/>
    </row>
    <row r="3" spans="1:8" ht="21" x14ac:dyDescent="0.4">
      <c r="B3" s="168" t="s">
        <v>650</v>
      </c>
      <c r="C3" s="168"/>
      <c r="D3" s="168"/>
      <c r="E3" s="168"/>
      <c r="F3" s="168"/>
      <c r="G3" s="168"/>
      <c r="H3" s="168"/>
    </row>
    <row r="4" spans="1:8" ht="21" x14ac:dyDescent="0.4">
      <c r="B4" s="168" t="s">
        <v>651</v>
      </c>
      <c r="C4" s="168"/>
      <c r="D4" s="168"/>
      <c r="E4" s="168"/>
      <c r="F4" s="168"/>
      <c r="G4" s="168"/>
      <c r="H4" s="168"/>
    </row>
    <row r="5" spans="1:8" ht="21" x14ac:dyDescent="0.4">
      <c r="B5" s="168" t="s">
        <v>652</v>
      </c>
      <c r="C5" s="168"/>
      <c r="D5" s="168"/>
      <c r="E5" s="168"/>
      <c r="F5" s="168"/>
      <c r="G5" s="168"/>
      <c r="H5" s="168"/>
    </row>
    <row r="7" spans="1:8" x14ac:dyDescent="0.3">
      <c r="A7" s="45" t="s">
        <v>125</v>
      </c>
    </row>
    <row r="8" spans="1:8" x14ac:dyDescent="0.3">
      <c r="A8" s="48" t="s">
        <v>126</v>
      </c>
    </row>
    <row r="9" spans="1:8" x14ac:dyDescent="0.3">
      <c r="A9" s="45" t="s">
        <v>127</v>
      </c>
    </row>
    <row r="10" spans="1:8" x14ac:dyDescent="0.3">
      <c r="A10" s="49"/>
    </row>
    <row r="11" spans="1:8" x14ac:dyDescent="0.3">
      <c r="B11" s="6" t="s">
        <v>4</v>
      </c>
      <c r="C11" s="6" t="s">
        <v>5</v>
      </c>
    </row>
    <row r="12" spans="1:8" x14ac:dyDescent="0.3">
      <c r="A12" s="1"/>
      <c r="B12" s="1" t="s">
        <v>128</v>
      </c>
      <c r="C12" s="1" t="s">
        <v>129</v>
      </c>
      <c r="D12" s="46" t="s">
        <v>130</v>
      </c>
    </row>
    <row r="13" spans="1:8" x14ac:dyDescent="0.3">
      <c r="A13" s="1" t="s">
        <v>131</v>
      </c>
      <c r="B13" s="50">
        <v>94</v>
      </c>
      <c r="C13" s="50">
        <v>94</v>
      </c>
      <c r="D13" s="47" t="str" cm="1">
        <f t="array" ref="D13:D16">IF(B13:B16=C13:C16,"MATCH","NO MAATCH")</f>
        <v>MATCH</v>
      </c>
      <c r="E13" s="6"/>
    </row>
    <row r="14" spans="1:8" x14ac:dyDescent="0.3">
      <c r="A14" s="1" t="s">
        <v>132</v>
      </c>
      <c r="B14" s="50">
        <v>109</v>
      </c>
      <c r="C14" s="50">
        <v>109</v>
      </c>
      <c r="D14" s="47" t="str">
        <v>MATCH</v>
      </c>
      <c r="E14" s="6"/>
    </row>
    <row r="15" spans="1:8" x14ac:dyDescent="0.3">
      <c r="A15" s="1" t="s">
        <v>133</v>
      </c>
      <c r="B15" s="50">
        <v>85</v>
      </c>
      <c r="C15" s="50">
        <v>85.5</v>
      </c>
      <c r="D15" s="47" t="str">
        <v>NO MAATCH</v>
      </c>
      <c r="E15" s="6"/>
    </row>
    <row r="16" spans="1:8" x14ac:dyDescent="0.3">
      <c r="A16" s="1" t="s">
        <v>134</v>
      </c>
      <c r="B16" s="50">
        <v>12</v>
      </c>
      <c r="C16" s="50">
        <v>12</v>
      </c>
      <c r="D16" s="47" t="str">
        <v>MATCH</v>
      </c>
      <c r="E16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85C14-73AB-4E87-8C4C-C6CEB1D33D94}">
  <dimension ref="A2:Q25"/>
  <sheetViews>
    <sheetView workbookViewId="0">
      <selection activeCell="I21" sqref="I21"/>
    </sheetView>
  </sheetViews>
  <sheetFormatPr defaultRowHeight="14.4" x14ac:dyDescent="0.3"/>
  <cols>
    <col min="6" max="6" width="12.109375" customWidth="1"/>
  </cols>
  <sheetData>
    <row r="2" spans="1:17" ht="18" x14ac:dyDescent="0.35">
      <c r="B2" s="166" t="s">
        <v>653</v>
      </c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</row>
    <row r="3" spans="1:17" ht="18" x14ac:dyDescent="0.35">
      <c r="B3" s="166" t="s">
        <v>654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</row>
    <row r="4" spans="1:17" ht="18" x14ac:dyDescent="0.35"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</row>
    <row r="5" spans="1:17" ht="18" x14ac:dyDescent="0.35">
      <c r="B5" s="166" t="s">
        <v>655</v>
      </c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</row>
    <row r="6" spans="1:17" ht="18" x14ac:dyDescent="0.35"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</row>
    <row r="8" spans="1:17" x14ac:dyDescent="0.3">
      <c r="B8" s="6" t="s">
        <v>135</v>
      </c>
    </row>
    <row r="9" spans="1:17" x14ac:dyDescent="0.3">
      <c r="A9" s="51">
        <v>1</v>
      </c>
      <c r="B9" s="52" t="s">
        <v>136</v>
      </c>
    </row>
    <row r="10" spans="1:17" x14ac:dyDescent="0.3">
      <c r="A10" s="51"/>
      <c r="B10" s="53"/>
    </row>
    <row r="11" spans="1:17" x14ac:dyDescent="0.3">
      <c r="A11" s="51">
        <v>2</v>
      </c>
      <c r="B11" s="52" t="s">
        <v>137</v>
      </c>
    </row>
    <row r="12" spans="1:17" x14ac:dyDescent="0.3">
      <c r="A12" s="51"/>
      <c r="B12" s="6"/>
    </row>
    <row r="13" spans="1:17" x14ac:dyDescent="0.3">
      <c r="A13" s="51"/>
      <c r="B13" s="6"/>
    </row>
    <row r="14" spans="1:17" x14ac:dyDescent="0.3">
      <c r="E14" s="1" t="s">
        <v>138</v>
      </c>
      <c r="F14" s="1" t="s">
        <v>139</v>
      </c>
    </row>
    <row r="15" spans="1:17" x14ac:dyDescent="0.3">
      <c r="B15" s="54" t="s">
        <v>140</v>
      </c>
      <c r="C15" s="54" t="s">
        <v>1</v>
      </c>
      <c r="D15" s="55" t="s">
        <v>141</v>
      </c>
      <c r="E15" s="54" t="s">
        <v>142</v>
      </c>
      <c r="F15" s="54" t="s">
        <v>143</v>
      </c>
      <c r="H15" s="6"/>
    </row>
    <row r="16" spans="1:17" x14ac:dyDescent="0.3">
      <c r="B16" s="1">
        <v>1</v>
      </c>
      <c r="C16" s="1" t="s">
        <v>144</v>
      </c>
      <c r="D16" s="56">
        <v>16</v>
      </c>
      <c r="E16" s="47" t="str" cm="1">
        <f t="array" ref="E16:E23">IF(D16:D23&gt;=16,"ELIGIBLE","NOT")</f>
        <v>ELIGIBLE</v>
      </c>
      <c r="F16" s="47" t="str" cm="1">
        <f t="array" ref="F16:F23">IF(D16:D23&gt;18,"ADULT","MINOR")</f>
        <v>MINOR</v>
      </c>
      <c r="H16" s="6"/>
    </row>
    <row r="17" spans="2:8" x14ac:dyDescent="0.3">
      <c r="B17" s="1">
        <v>2</v>
      </c>
      <c r="C17" s="1" t="s">
        <v>145</v>
      </c>
      <c r="D17" s="56">
        <v>18</v>
      </c>
      <c r="E17" s="47" t="str">
        <v>ELIGIBLE</v>
      </c>
      <c r="F17" s="47" t="str">
        <v>MINOR</v>
      </c>
      <c r="H17" s="6"/>
    </row>
    <row r="18" spans="2:8" x14ac:dyDescent="0.3">
      <c r="B18" s="1">
        <v>3</v>
      </c>
      <c r="C18" s="1" t="s">
        <v>146</v>
      </c>
      <c r="D18" s="56">
        <v>15.5</v>
      </c>
      <c r="E18" s="47" t="str">
        <v>NOT</v>
      </c>
      <c r="F18" s="47" t="str">
        <v>MINOR</v>
      </c>
      <c r="H18" s="6"/>
    </row>
    <row r="19" spans="2:8" x14ac:dyDescent="0.3">
      <c r="B19" s="1">
        <v>4</v>
      </c>
      <c r="C19" s="1" t="s">
        <v>147</v>
      </c>
      <c r="D19" s="56">
        <v>19</v>
      </c>
      <c r="E19" s="47" t="str">
        <v>ELIGIBLE</v>
      </c>
      <c r="F19" s="47" t="str">
        <v>ADULT</v>
      </c>
      <c r="H19" s="6"/>
    </row>
    <row r="20" spans="2:8" x14ac:dyDescent="0.3">
      <c r="B20" s="1">
        <v>5</v>
      </c>
      <c r="C20" s="1" t="s">
        <v>148</v>
      </c>
      <c r="D20" s="56">
        <v>18</v>
      </c>
      <c r="E20" s="47" t="str">
        <v>ELIGIBLE</v>
      </c>
      <c r="F20" s="47" t="str">
        <v>MINOR</v>
      </c>
      <c r="H20" s="6"/>
    </row>
    <row r="21" spans="2:8" x14ac:dyDescent="0.3">
      <c r="B21" s="1">
        <v>6</v>
      </c>
      <c r="C21" s="1" t="s">
        <v>149</v>
      </c>
      <c r="D21" s="56">
        <v>13</v>
      </c>
      <c r="E21" s="47" t="str">
        <v>NOT</v>
      </c>
      <c r="F21" s="47" t="str">
        <v>MINOR</v>
      </c>
      <c r="H21" s="6"/>
    </row>
    <row r="22" spans="2:8" x14ac:dyDescent="0.3">
      <c r="B22" s="1">
        <v>7</v>
      </c>
      <c r="C22" s="1" t="s">
        <v>150</v>
      </c>
      <c r="D22" s="56">
        <v>18</v>
      </c>
      <c r="E22" s="47" t="str">
        <v>ELIGIBLE</v>
      </c>
      <c r="F22" s="47" t="str">
        <v>MINOR</v>
      </c>
      <c r="H22" s="6"/>
    </row>
    <row r="23" spans="2:8" x14ac:dyDescent="0.3">
      <c r="B23" s="1">
        <v>8</v>
      </c>
      <c r="C23" s="1" t="s">
        <v>151</v>
      </c>
      <c r="D23" s="56">
        <v>17</v>
      </c>
      <c r="E23" s="47" t="str">
        <v>ELIGIBLE</v>
      </c>
      <c r="F23" s="47" t="str">
        <v>MINOR</v>
      </c>
      <c r="H23" s="6"/>
    </row>
    <row r="25" spans="2:8" x14ac:dyDescent="0.3">
      <c r="B25" s="49"/>
      <c r="C25" s="49"/>
      <c r="D25" s="4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AA680-AEE1-43B8-98FC-0B297082BCE2}">
  <dimension ref="A2:O23"/>
  <sheetViews>
    <sheetView workbookViewId="0">
      <selection activeCell="H19" sqref="H19"/>
    </sheetView>
  </sheetViews>
  <sheetFormatPr defaultRowHeight="14.4" x14ac:dyDescent="0.3"/>
  <cols>
    <col min="4" max="4" width="10.88671875" customWidth="1"/>
  </cols>
  <sheetData>
    <row r="2" spans="1:15" ht="18" x14ac:dyDescent="0.35">
      <c r="B2" s="166" t="s">
        <v>656</v>
      </c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</row>
    <row r="3" spans="1:15" ht="18" x14ac:dyDescent="0.35">
      <c r="B3" s="166" t="s">
        <v>657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</row>
    <row r="4" spans="1:15" ht="18" x14ac:dyDescent="0.35"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</row>
    <row r="6" spans="1:15" x14ac:dyDescent="0.3">
      <c r="A6" s="29" t="s">
        <v>152</v>
      </c>
      <c r="B6" s="29"/>
      <c r="C6" s="29"/>
      <c r="D6" s="29"/>
      <c r="E6" s="29"/>
      <c r="F6" s="29"/>
    </row>
    <row r="7" spans="1:15" x14ac:dyDescent="0.3">
      <c r="A7" s="29"/>
      <c r="B7" s="29"/>
      <c r="C7" s="29"/>
      <c r="D7" s="29"/>
      <c r="E7" s="29"/>
      <c r="F7" s="29"/>
    </row>
    <row r="8" spans="1:15" x14ac:dyDescent="0.3">
      <c r="A8" s="29"/>
      <c r="B8" s="29" t="s">
        <v>59</v>
      </c>
      <c r="C8" s="29"/>
      <c r="D8" s="29"/>
      <c r="E8" s="29"/>
      <c r="F8" s="29"/>
    </row>
    <row r="9" spans="1:15" x14ac:dyDescent="0.3">
      <c r="A9" s="57" t="s">
        <v>153</v>
      </c>
      <c r="B9" s="58">
        <v>1</v>
      </c>
      <c r="C9" s="29"/>
      <c r="D9" s="29"/>
      <c r="E9" s="29"/>
      <c r="F9" s="29"/>
    </row>
    <row r="10" spans="1:15" x14ac:dyDescent="0.3">
      <c r="A10" s="57" t="s">
        <v>154</v>
      </c>
      <c r="B10" s="58">
        <v>0.5</v>
      </c>
      <c r="C10" s="29"/>
      <c r="D10" s="29"/>
      <c r="E10" s="29"/>
      <c r="F10" s="29"/>
    </row>
    <row r="11" spans="1:15" x14ac:dyDescent="0.3">
      <c r="A11" s="29"/>
      <c r="B11" s="29"/>
      <c r="C11" s="29"/>
      <c r="D11" s="29"/>
      <c r="E11" s="29"/>
      <c r="F11" s="29"/>
    </row>
    <row r="12" spans="1:15" x14ac:dyDescent="0.3">
      <c r="A12" s="29" t="s">
        <v>155</v>
      </c>
      <c r="B12" s="29"/>
      <c r="C12" s="29"/>
      <c r="D12" s="29"/>
      <c r="E12" s="29"/>
      <c r="F12" s="29"/>
    </row>
    <row r="13" spans="1:15" x14ac:dyDescent="0.3">
      <c r="A13" s="29" t="s">
        <v>156</v>
      </c>
      <c r="B13" s="29"/>
      <c r="C13" s="29"/>
      <c r="D13" s="29"/>
      <c r="E13" s="29"/>
      <c r="F13" s="29"/>
    </row>
    <row r="14" spans="1:15" x14ac:dyDescent="0.3">
      <c r="A14" s="29"/>
      <c r="B14" s="29"/>
      <c r="C14" s="29"/>
      <c r="D14" s="29"/>
      <c r="E14" s="29"/>
      <c r="F14" s="29"/>
    </row>
    <row r="15" spans="1:15" x14ac:dyDescent="0.3">
      <c r="A15" s="59" t="s">
        <v>1</v>
      </c>
      <c r="B15" s="59" t="s">
        <v>157</v>
      </c>
      <c r="C15" s="59" t="s">
        <v>158</v>
      </c>
      <c r="D15" s="59" t="s">
        <v>159</v>
      </c>
      <c r="E15" s="29"/>
      <c r="F15" s="29"/>
    </row>
    <row r="16" spans="1:15" x14ac:dyDescent="0.3">
      <c r="A16" s="57" t="s">
        <v>160</v>
      </c>
      <c r="B16" s="57" t="s">
        <v>153</v>
      </c>
      <c r="C16" s="60">
        <v>46866</v>
      </c>
      <c r="D16" s="61">
        <f>IF(B16="A+",C16,C16*0.5)</f>
        <v>46866</v>
      </c>
      <c r="E16" s="29"/>
      <c r="F16" s="29"/>
    </row>
    <row r="17" spans="1:6" x14ac:dyDescent="0.3">
      <c r="A17" s="57" t="s">
        <v>161</v>
      </c>
      <c r="B17" s="57" t="s">
        <v>154</v>
      </c>
      <c r="C17" s="60">
        <v>33495</v>
      </c>
      <c r="D17" s="61">
        <f t="shared" ref="D17:D22" si="0">IF(B17="A+",C17,C17*0.5)</f>
        <v>16747.5</v>
      </c>
      <c r="E17" s="29"/>
      <c r="F17" s="29"/>
    </row>
    <row r="18" spans="1:6" x14ac:dyDescent="0.3">
      <c r="A18" s="57" t="s">
        <v>162</v>
      </c>
      <c r="B18" s="57" t="s">
        <v>154</v>
      </c>
      <c r="C18" s="60">
        <v>35087</v>
      </c>
      <c r="D18" s="61">
        <f t="shared" si="0"/>
        <v>17543.5</v>
      </c>
      <c r="E18" s="29"/>
      <c r="F18" s="29"/>
    </row>
    <row r="19" spans="1:6" x14ac:dyDescent="0.3">
      <c r="A19" s="57" t="s">
        <v>163</v>
      </c>
      <c r="B19" s="57" t="s">
        <v>153</v>
      </c>
      <c r="C19" s="60">
        <v>42603</v>
      </c>
      <c r="D19" s="61">
        <f t="shared" si="0"/>
        <v>42603</v>
      </c>
      <c r="E19" s="29"/>
      <c r="F19" s="29"/>
    </row>
    <row r="20" spans="1:6" x14ac:dyDescent="0.3">
      <c r="A20" s="57" t="s">
        <v>148</v>
      </c>
      <c r="B20" s="57" t="s">
        <v>154</v>
      </c>
      <c r="C20" s="60">
        <v>36971</v>
      </c>
      <c r="D20" s="61">
        <f t="shared" si="0"/>
        <v>18485.5</v>
      </c>
      <c r="E20" s="29"/>
      <c r="F20" s="29"/>
    </row>
    <row r="21" spans="1:6" x14ac:dyDescent="0.3">
      <c r="A21" s="57" t="s">
        <v>164</v>
      </c>
      <c r="B21" s="57" t="s">
        <v>153</v>
      </c>
      <c r="C21" s="60">
        <v>41286</v>
      </c>
      <c r="D21" s="61">
        <f t="shared" si="0"/>
        <v>41286</v>
      </c>
      <c r="E21" s="29"/>
      <c r="F21" s="29"/>
    </row>
    <row r="22" spans="1:6" x14ac:dyDescent="0.3">
      <c r="A22" s="57" t="s">
        <v>165</v>
      </c>
      <c r="B22" s="57" t="s">
        <v>154</v>
      </c>
      <c r="C22" s="60">
        <v>37732</v>
      </c>
      <c r="D22" s="61">
        <f t="shared" si="0"/>
        <v>18866</v>
      </c>
      <c r="E22" s="29"/>
      <c r="F22" s="29"/>
    </row>
    <row r="23" spans="1:6" x14ac:dyDescent="0.3">
      <c r="A23" s="29"/>
      <c r="B23" s="29"/>
      <c r="C23" s="29"/>
      <c r="D23" s="29"/>
      <c r="E23" s="29"/>
      <c r="F23" s="2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4DA0E-25F0-42A0-AD64-B6DA7473C0AE}">
  <dimension ref="A2:G32"/>
  <sheetViews>
    <sheetView workbookViewId="0">
      <selection activeCell="M20" sqref="M20"/>
    </sheetView>
  </sheetViews>
  <sheetFormatPr defaultRowHeight="14.4" x14ac:dyDescent="0.3"/>
  <sheetData>
    <row r="2" spans="1:7" ht="21" x14ac:dyDescent="0.4">
      <c r="B2" s="168" t="s">
        <v>658</v>
      </c>
    </row>
    <row r="5" spans="1:7" x14ac:dyDescent="0.3">
      <c r="A5" s="5" t="s">
        <v>166</v>
      </c>
      <c r="B5" s="6"/>
      <c r="C5" s="6"/>
      <c r="D5" s="6"/>
      <c r="E5" s="6"/>
      <c r="F5" s="6"/>
      <c r="G5" s="6"/>
    </row>
    <row r="6" spans="1:7" x14ac:dyDescent="0.3">
      <c r="A6" s="6" t="s">
        <v>167</v>
      </c>
      <c r="B6" s="6"/>
      <c r="C6" s="6"/>
      <c r="D6" s="6"/>
      <c r="E6" s="6"/>
      <c r="F6" s="6"/>
      <c r="G6" s="6"/>
    </row>
    <row r="7" spans="1:7" x14ac:dyDescent="0.3">
      <c r="A7" s="62" t="s">
        <v>168</v>
      </c>
      <c r="B7" s="6" t="s">
        <v>169</v>
      </c>
      <c r="C7" s="6"/>
      <c r="D7" s="6"/>
      <c r="E7" s="6"/>
      <c r="F7" s="6"/>
      <c r="G7" s="6"/>
    </row>
    <row r="8" spans="1:7" x14ac:dyDescent="0.3">
      <c r="A8" s="6" t="s">
        <v>170</v>
      </c>
      <c r="B8" s="6" t="s">
        <v>171</v>
      </c>
      <c r="C8" s="6"/>
      <c r="D8" s="6"/>
      <c r="E8" s="6"/>
      <c r="F8" s="6"/>
      <c r="G8" s="6"/>
    </row>
    <row r="9" spans="1:7" x14ac:dyDescent="0.3">
      <c r="A9" s="62" t="s">
        <v>172</v>
      </c>
      <c r="B9" s="6" t="s">
        <v>173</v>
      </c>
      <c r="C9" s="6"/>
      <c r="D9" s="6"/>
      <c r="E9" s="6"/>
      <c r="F9" s="6"/>
      <c r="G9" s="6"/>
    </row>
    <row r="10" spans="1:7" x14ac:dyDescent="0.3">
      <c r="A10" s="6" t="s">
        <v>174</v>
      </c>
      <c r="B10" s="6" t="s">
        <v>175</v>
      </c>
      <c r="C10" s="6"/>
      <c r="D10" s="6"/>
      <c r="E10" s="6"/>
      <c r="F10" s="6"/>
      <c r="G10" s="6"/>
    </row>
    <row r="11" spans="1:7" x14ac:dyDescent="0.3">
      <c r="A11" s="6" t="s">
        <v>176</v>
      </c>
      <c r="B11" s="6" t="s">
        <v>177</v>
      </c>
      <c r="C11" s="6"/>
      <c r="D11" s="6"/>
      <c r="E11" s="6"/>
      <c r="F11" s="6"/>
      <c r="G11" s="6"/>
    </row>
    <row r="12" spans="1:7" x14ac:dyDescent="0.3">
      <c r="A12" s="6" t="s">
        <v>178</v>
      </c>
      <c r="B12" s="6" t="s">
        <v>179</v>
      </c>
      <c r="C12" s="6"/>
      <c r="D12" s="6"/>
      <c r="E12" s="6"/>
      <c r="F12" s="6"/>
      <c r="G12" s="6"/>
    </row>
    <row r="13" spans="1:7" x14ac:dyDescent="0.3">
      <c r="A13" s="6"/>
      <c r="B13" s="6"/>
      <c r="C13" s="6"/>
      <c r="D13" s="6"/>
      <c r="E13" s="6"/>
      <c r="F13" s="6"/>
      <c r="G13" s="6"/>
    </row>
    <row r="14" spans="1:7" x14ac:dyDescent="0.3">
      <c r="A14" s="49" t="s">
        <v>180</v>
      </c>
      <c r="B14" s="6"/>
      <c r="C14" s="6"/>
      <c r="D14" s="6"/>
      <c r="E14" s="6"/>
      <c r="F14" s="6"/>
      <c r="G14" s="6"/>
    </row>
    <row r="15" spans="1:7" x14ac:dyDescent="0.3">
      <c r="A15" s="6">
        <v>2</v>
      </c>
      <c r="B15" s="6" t="s">
        <v>181</v>
      </c>
      <c r="C15" s="6">
        <v>3</v>
      </c>
      <c r="D15" s="15">
        <f>2+3</f>
        <v>5</v>
      </c>
      <c r="E15" s="6"/>
      <c r="F15" s="6"/>
      <c r="G15" s="6"/>
    </row>
    <row r="16" spans="1:7" x14ac:dyDescent="0.3">
      <c r="A16" s="6">
        <v>3</v>
      </c>
      <c r="B16" s="6" t="s">
        <v>182</v>
      </c>
      <c r="C16" s="6">
        <v>1</v>
      </c>
      <c r="D16" s="15">
        <f>3-1</f>
        <v>2</v>
      </c>
      <c r="E16" s="6"/>
      <c r="F16" s="6"/>
      <c r="G16" s="6"/>
    </row>
    <row r="17" spans="1:7" x14ac:dyDescent="0.3">
      <c r="A17" s="6">
        <v>5</v>
      </c>
      <c r="B17" s="6" t="s">
        <v>183</v>
      </c>
      <c r="C17" s="6">
        <v>10</v>
      </c>
      <c r="D17" s="15">
        <f>5*10</f>
        <v>50</v>
      </c>
      <c r="E17" s="6"/>
      <c r="F17" s="6"/>
      <c r="G17" s="6"/>
    </row>
    <row r="18" spans="1:7" x14ac:dyDescent="0.3">
      <c r="A18" s="6">
        <v>10</v>
      </c>
      <c r="B18" s="6" t="s">
        <v>184</v>
      </c>
      <c r="C18" s="6">
        <v>2</v>
      </c>
      <c r="D18" s="15">
        <f>10/2</f>
        <v>5</v>
      </c>
      <c r="E18" s="6"/>
      <c r="F18" s="6"/>
      <c r="G18" s="6"/>
    </row>
    <row r="19" spans="1:7" x14ac:dyDescent="0.3">
      <c r="A19" s="6"/>
      <c r="B19" s="6"/>
      <c r="C19" s="6"/>
      <c r="D19" s="6"/>
      <c r="E19" s="6"/>
      <c r="F19" s="6"/>
      <c r="G19" s="6"/>
    </row>
    <row r="20" spans="1:7" x14ac:dyDescent="0.3">
      <c r="A20" s="6"/>
      <c r="B20" s="6"/>
      <c r="C20" s="6"/>
      <c r="D20" s="6"/>
      <c r="E20" s="6"/>
      <c r="F20" s="6"/>
      <c r="G20" s="6"/>
    </row>
    <row r="21" spans="1:7" x14ac:dyDescent="0.3">
      <c r="A21" s="49" t="s">
        <v>185</v>
      </c>
      <c r="B21" s="6"/>
      <c r="C21" s="6"/>
      <c r="D21" s="6"/>
      <c r="E21" s="6"/>
      <c r="F21" s="6"/>
      <c r="G21" s="6"/>
    </row>
    <row r="22" spans="1:7" x14ac:dyDescent="0.3">
      <c r="A22" s="5">
        <v>10</v>
      </c>
      <c r="B22" s="6" t="s">
        <v>186</v>
      </c>
      <c r="C22" s="6">
        <v>100</v>
      </c>
      <c r="D22" s="63">
        <f>10/100</f>
        <v>0.1</v>
      </c>
      <c r="E22" s="6"/>
      <c r="F22" s="6"/>
      <c r="G22" s="6"/>
    </row>
    <row r="23" spans="1:7" x14ac:dyDescent="0.3">
      <c r="A23" s="5">
        <v>3</v>
      </c>
      <c r="B23" s="6" t="s">
        <v>186</v>
      </c>
      <c r="C23" s="6">
        <v>6</v>
      </c>
      <c r="D23" s="63">
        <v>5.0000000000000001E-3</v>
      </c>
      <c r="E23" s="6"/>
      <c r="F23" s="6"/>
      <c r="G23" s="6"/>
    </row>
    <row r="24" spans="1:7" x14ac:dyDescent="0.3">
      <c r="A24" s="5">
        <v>1.5</v>
      </c>
      <c r="B24" s="6" t="s">
        <v>186</v>
      </c>
      <c r="C24" s="6">
        <v>1</v>
      </c>
      <c r="D24" s="63">
        <f>1.5/1</f>
        <v>1.5</v>
      </c>
      <c r="E24" s="6"/>
      <c r="F24" s="6"/>
      <c r="G24" s="6"/>
    </row>
    <row r="25" spans="1:7" x14ac:dyDescent="0.3">
      <c r="A25" s="6"/>
      <c r="B25" s="6"/>
      <c r="C25" s="6"/>
      <c r="D25" s="6"/>
      <c r="E25" s="6"/>
      <c r="F25" s="6"/>
      <c r="G25" s="6"/>
    </row>
    <row r="26" spans="1:7" x14ac:dyDescent="0.3">
      <c r="A26" s="49" t="s">
        <v>187</v>
      </c>
      <c r="B26" s="6"/>
      <c r="C26" s="6"/>
      <c r="D26" s="6"/>
      <c r="E26" s="6"/>
      <c r="F26" s="6"/>
      <c r="G26" s="6"/>
    </row>
    <row r="27" spans="1:7" x14ac:dyDescent="0.3">
      <c r="A27" s="5" t="s">
        <v>188</v>
      </c>
      <c r="B27" s="5" t="s">
        <v>189</v>
      </c>
      <c r="C27" s="5" t="s">
        <v>190</v>
      </c>
      <c r="D27" s="5" t="s">
        <v>191</v>
      </c>
      <c r="E27" s="5"/>
      <c r="F27" s="6"/>
      <c r="G27" s="6"/>
    </row>
    <row r="28" spans="1:7" x14ac:dyDescent="0.3">
      <c r="A28" s="6" t="s">
        <v>192</v>
      </c>
      <c r="B28" s="6">
        <v>100</v>
      </c>
      <c r="C28" s="6">
        <v>150</v>
      </c>
      <c r="D28" s="63">
        <f>100/150</f>
        <v>0.66666666666666663</v>
      </c>
      <c r="E28" s="64"/>
      <c r="F28" s="6"/>
      <c r="G28" s="6"/>
    </row>
    <row r="29" spans="1:7" x14ac:dyDescent="0.3">
      <c r="A29" s="6" t="s">
        <v>193</v>
      </c>
      <c r="B29" s="6">
        <v>100</v>
      </c>
      <c r="C29" s="6">
        <v>50</v>
      </c>
      <c r="D29" s="63">
        <v>0.02</v>
      </c>
      <c r="E29" s="64"/>
      <c r="F29" s="6"/>
      <c r="G29" s="6"/>
    </row>
    <row r="30" spans="1:7" x14ac:dyDescent="0.3">
      <c r="A30" s="6"/>
      <c r="B30" s="6"/>
      <c r="C30" s="6"/>
      <c r="D30" s="6"/>
      <c r="E30" s="6"/>
      <c r="F30" s="6"/>
      <c r="G30" s="6"/>
    </row>
    <row r="31" spans="1:7" ht="23.4" x14ac:dyDescent="0.45">
      <c r="A31" s="65" t="s">
        <v>194</v>
      </c>
      <c r="B31" s="6"/>
      <c r="C31" s="6"/>
      <c r="D31" s="6"/>
      <c r="E31" s="6"/>
      <c r="F31" s="6"/>
      <c r="G31" s="6"/>
    </row>
    <row r="32" spans="1:7" x14ac:dyDescent="0.3">
      <c r="A32" s="6"/>
      <c r="B32" s="6"/>
      <c r="C32" s="6"/>
      <c r="D32" s="6"/>
      <c r="E32" s="6"/>
      <c r="F32" s="6"/>
      <c r="G32" s="6"/>
    </row>
  </sheetData>
  <hyperlinks>
    <hyperlink ref="A31" location="'Math 1 - Answer'!A1" display="Click here to view the Answers!" xr:uid="{5DC8C1E8-D7FA-4A82-B348-0873616D4627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F4F0C-BA34-4E04-9A76-579CECB26AE2}">
  <dimension ref="A2:D18"/>
  <sheetViews>
    <sheetView workbookViewId="0">
      <selection activeCell="A4" sqref="A4:XFD6"/>
    </sheetView>
  </sheetViews>
  <sheetFormatPr defaultRowHeight="14.4" x14ac:dyDescent="0.3"/>
  <cols>
    <col min="2" max="2" width="12.88671875" customWidth="1"/>
    <col min="3" max="3" width="14.109375" customWidth="1"/>
    <col min="4" max="4" width="20.5546875" customWidth="1"/>
  </cols>
  <sheetData>
    <row r="2" spans="1:4" ht="21" x14ac:dyDescent="0.4">
      <c r="B2" s="168" t="s">
        <v>659</v>
      </c>
    </row>
    <row r="4" spans="1:4" x14ac:dyDescent="0.3">
      <c r="A4" s="11"/>
      <c r="B4" s="6" t="s">
        <v>195</v>
      </c>
    </row>
    <row r="5" spans="1:4" x14ac:dyDescent="0.3">
      <c r="A5" s="66"/>
      <c r="B5" s="67" t="s">
        <v>196</v>
      </c>
      <c r="C5" s="68"/>
    </row>
    <row r="6" spans="1:4" x14ac:dyDescent="0.3">
      <c r="A6" s="69">
        <v>1</v>
      </c>
      <c r="B6" s="6" t="s">
        <v>197</v>
      </c>
    </row>
    <row r="7" spans="1:4" x14ac:dyDescent="0.3">
      <c r="A7" s="70"/>
      <c r="B7" s="72" t="s">
        <v>1</v>
      </c>
      <c r="C7" s="72" t="s">
        <v>2</v>
      </c>
    </row>
    <row r="8" spans="1:4" x14ac:dyDescent="0.3">
      <c r="A8" s="69"/>
      <c r="B8" s="7" t="s">
        <v>198</v>
      </c>
      <c r="C8" s="7">
        <v>200</v>
      </c>
    </row>
    <row r="9" spans="1:4" x14ac:dyDescent="0.3">
      <c r="A9" s="69"/>
      <c r="B9" s="7" t="s">
        <v>199</v>
      </c>
      <c r="C9" s="7">
        <v>120</v>
      </c>
    </row>
    <row r="10" spans="1:4" x14ac:dyDescent="0.3">
      <c r="A10" s="69"/>
      <c r="B10" s="7" t="s">
        <v>200</v>
      </c>
      <c r="C10" s="7">
        <v>156</v>
      </c>
    </row>
    <row r="11" spans="1:4" x14ac:dyDescent="0.3">
      <c r="A11" s="69"/>
      <c r="B11" s="7" t="s">
        <v>201</v>
      </c>
      <c r="C11" s="7">
        <v>190</v>
      </c>
    </row>
    <row r="12" spans="1:4" x14ac:dyDescent="0.3">
      <c r="A12" s="69"/>
      <c r="B12" s="7" t="s">
        <v>202</v>
      </c>
      <c r="C12" s="7">
        <v>320</v>
      </c>
    </row>
    <row r="13" spans="1:4" x14ac:dyDescent="0.3">
      <c r="A13" s="69"/>
      <c r="B13" s="7" t="s">
        <v>203</v>
      </c>
      <c r="C13" s="7">
        <v>89</v>
      </c>
    </row>
    <row r="14" spans="1:4" ht="15" thickBot="1" x14ac:dyDescent="0.35">
      <c r="A14" s="11"/>
    </row>
    <row r="15" spans="1:4" ht="15" thickBot="1" x14ac:dyDescent="0.35">
      <c r="A15" s="69">
        <v>1.1000000000000001</v>
      </c>
      <c r="B15" s="6" t="s">
        <v>204</v>
      </c>
      <c r="C15" s="71">
        <f>MAX(C8:C13)</f>
        <v>320</v>
      </c>
      <c r="D15" s="6"/>
    </row>
    <row r="16" spans="1:4" ht="15" thickBot="1" x14ac:dyDescent="0.35">
      <c r="A16" s="69">
        <v>1.2</v>
      </c>
      <c r="B16" s="6" t="s">
        <v>205</v>
      </c>
      <c r="C16" s="71">
        <f>MIN(C8:C13)</f>
        <v>89</v>
      </c>
      <c r="D16" s="6"/>
    </row>
    <row r="17" spans="1:4" ht="15" thickBot="1" x14ac:dyDescent="0.35">
      <c r="A17" s="69">
        <v>1.3</v>
      </c>
      <c r="B17" s="6" t="s">
        <v>206</v>
      </c>
      <c r="C17" s="71">
        <f>AVERAGE(C15,C16)</f>
        <v>204.5</v>
      </c>
      <c r="D17" s="6"/>
    </row>
    <row r="18" spans="1:4" x14ac:dyDescent="0.3">
      <c r="A18" s="1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22B44-6996-4B6B-B07B-A47A76F7AF94}">
  <dimension ref="A2:M16"/>
  <sheetViews>
    <sheetView workbookViewId="0">
      <selection activeCell="A5" sqref="A5:XFD6"/>
    </sheetView>
  </sheetViews>
  <sheetFormatPr defaultRowHeight="14.4" x14ac:dyDescent="0.3"/>
  <cols>
    <col min="1" max="1" width="9.109375" customWidth="1"/>
  </cols>
  <sheetData>
    <row r="2" spans="1:13" ht="21" x14ac:dyDescent="0.4">
      <c r="B2" s="168" t="s">
        <v>660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ht="21" x14ac:dyDescent="0.4">
      <c r="B3" s="168" t="s">
        <v>661</v>
      </c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</row>
    <row r="6" spans="1:13" x14ac:dyDescent="0.3">
      <c r="A6" s="6" t="s">
        <v>207</v>
      </c>
    </row>
    <row r="8" spans="1:13" x14ac:dyDescent="0.3">
      <c r="A8" s="6" t="s">
        <v>208</v>
      </c>
    </row>
    <row r="9" spans="1:13" x14ac:dyDescent="0.3">
      <c r="A9" s="6" t="s">
        <v>209</v>
      </c>
    </row>
    <row r="10" spans="1:13" x14ac:dyDescent="0.3">
      <c r="A10" s="6" t="s">
        <v>210</v>
      </c>
    </row>
    <row r="11" spans="1:13" x14ac:dyDescent="0.3">
      <c r="A11" s="6"/>
    </row>
    <row r="12" spans="1:13" ht="15" thickBot="1" x14ac:dyDescent="0.35">
      <c r="A12" s="73"/>
      <c r="B12" s="79" t="s">
        <v>211</v>
      </c>
      <c r="C12" s="79" t="s">
        <v>212</v>
      </c>
      <c r="D12" s="79" t="s">
        <v>213</v>
      </c>
      <c r="E12" s="79" t="s">
        <v>214</v>
      </c>
    </row>
    <row r="13" spans="1:13" x14ac:dyDescent="0.3">
      <c r="A13" s="16" t="s">
        <v>215</v>
      </c>
      <c r="B13" s="77">
        <v>95</v>
      </c>
      <c r="C13" s="77">
        <v>56</v>
      </c>
      <c r="D13" s="77">
        <v>14</v>
      </c>
      <c r="E13" s="78">
        <v>66</v>
      </c>
      <c r="F13" s="74" t="str">
        <f>IF(MIN(B13:E13)&lt;50,"FAIL","PASS")</f>
        <v>FAIL</v>
      </c>
      <c r="H13" s="6"/>
    </row>
    <row r="14" spans="1:13" x14ac:dyDescent="0.3">
      <c r="A14" s="16" t="s">
        <v>216</v>
      </c>
      <c r="B14" s="77">
        <v>54</v>
      </c>
      <c r="C14" s="77">
        <v>89</v>
      </c>
      <c r="D14" s="77">
        <v>53</v>
      </c>
      <c r="E14" s="78">
        <v>66</v>
      </c>
      <c r="F14" s="75" t="str">
        <f t="shared" ref="F14:F16" si="0">IF(MIN(B14:E14)&lt;50,"FAIL","PASS")</f>
        <v>PASS</v>
      </c>
      <c r="H14" s="6"/>
    </row>
    <row r="15" spans="1:13" x14ac:dyDescent="0.3">
      <c r="A15" s="16" t="s">
        <v>217</v>
      </c>
      <c r="B15" s="77">
        <v>100</v>
      </c>
      <c r="C15" s="77">
        <v>69</v>
      </c>
      <c r="D15" s="77">
        <v>78</v>
      </c>
      <c r="E15" s="78">
        <v>53</v>
      </c>
      <c r="F15" s="75" t="str">
        <f t="shared" si="0"/>
        <v>PASS</v>
      </c>
      <c r="H15" s="6"/>
    </row>
    <row r="16" spans="1:13" ht="15" thickBot="1" x14ac:dyDescent="0.35">
      <c r="A16" s="16" t="s">
        <v>124</v>
      </c>
      <c r="B16" s="77">
        <v>49</v>
      </c>
      <c r="C16" s="77">
        <v>70</v>
      </c>
      <c r="D16" s="77">
        <v>87</v>
      </c>
      <c r="E16" s="78">
        <v>100</v>
      </c>
      <c r="F16" s="76" t="str">
        <f t="shared" si="0"/>
        <v>FAIL</v>
      </c>
      <c r="H16" s="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4107-BD69-44C9-8A04-9BB065814711}">
  <dimension ref="B2:L19"/>
  <sheetViews>
    <sheetView workbookViewId="0">
      <selection activeCell="B2" sqref="B2:L3"/>
    </sheetView>
  </sheetViews>
  <sheetFormatPr defaultRowHeight="14.4" x14ac:dyDescent="0.3"/>
  <sheetData>
    <row r="2" spans="2:12" ht="21" x14ac:dyDescent="0.4">
      <c r="B2" s="168" t="s">
        <v>662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2:12" ht="21" x14ac:dyDescent="0.4">
      <c r="B3" s="168" t="s">
        <v>663</v>
      </c>
      <c r="C3" s="168"/>
      <c r="D3" s="168"/>
      <c r="E3" s="168"/>
      <c r="F3" s="168"/>
      <c r="G3" s="168"/>
      <c r="H3" s="168"/>
      <c r="I3" s="168"/>
      <c r="J3" s="168"/>
      <c r="K3" s="168"/>
      <c r="L3" s="168"/>
    </row>
    <row r="8" spans="2:12" x14ac:dyDescent="0.3">
      <c r="B8" s="6" t="s">
        <v>218</v>
      </c>
    </row>
    <row r="9" spans="2:12" x14ac:dyDescent="0.3">
      <c r="B9" s="45" t="s">
        <v>219</v>
      </c>
    </row>
    <row r="11" spans="2:12" x14ac:dyDescent="0.3">
      <c r="B11" s="73"/>
      <c r="C11" s="18" t="s">
        <v>211</v>
      </c>
    </row>
    <row r="12" spans="2:12" x14ac:dyDescent="0.3">
      <c r="B12" s="16" t="s">
        <v>220</v>
      </c>
      <c r="C12" s="16">
        <v>95</v>
      </c>
    </row>
    <row r="13" spans="2:12" x14ac:dyDescent="0.3">
      <c r="B13" s="16" t="s">
        <v>216</v>
      </c>
      <c r="C13" s="16">
        <v>54</v>
      </c>
    </row>
    <row r="14" spans="2:12" x14ac:dyDescent="0.3">
      <c r="B14" s="16" t="s">
        <v>217</v>
      </c>
      <c r="C14" s="16">
        <v>100</v>
      </c>
    </row>
    <row r="15" spans="2:12" x14ac:dyDescent="0.3">
      <c r="B15" s="16" t="s">
        <v>124</v>
      </c>
      <c r="C15" s="16">
        <v>49</v>
      </c>
    </row>
    <row r="16" spans="2:12" x14ac:dyDescent="0.3">
      <c r="B16" s="16" t="s">
        <v>221</v>
      </c>
      <c r="C16" s="16">
        <v>67</v>
      </c>
    </row>
    <row r="17" spans="2:5" x14ac:dyDescent="0.3">
      <c r="B17" s="16" t="s">
        <v>222</v>
      </c>
      <c r="C17" s="16">
        <v>45</v>
      </c>
    </row>
    <row r="18" spans="2:5" ht="15" thickBot="1" x14ac:dyDescent="0.35">
      <c r="B18" s="16" t="s">
        <v>223</v>
      </c>
      <c r="C18" s="80">
        <v>77</v>
      </c>
    </row>
    <row r="19" spans="2:5" ht="15" thickBot="1" x14ac:dyDescent="0.35">
      <c r="C19" s="81" t="str">
        <f>IF(MAX(C12:C18)&gt;=99,"EASY","NOT")</f>
        <v>EASY</v>
      </c>
      <c r="E19" s="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E012-DF5D-455B-98C5-1B13B2CEEC48}">
  <dimension ref="B2:D18"/>
  <sheetViews>
    <sheetView workbookViewId="0">
      <selection activeCell="G18" sqref="G18"/>
    </sheetView>
  </sheetViews>
  <sheetFormatPr defaultRowHeight="14.4" x14ac:dyDescent="0.3"/>
  <cols>
    <col min="2" max="2" width="14.33203125" customWidth="1"/>
    <col min="4" max="4" width="19.88671875" customWidth="1"/>
  </cols>
  <sheetData>
    <row r="2" spans="2:4" ht="21" x14ac:dyDescent="0.4">
      <c r="B2" s="168" t="s">
        <v>664</v>
      </c>
    </row>
    <row r="3" spans="2:4" ht="21" x14ac:dyDescent="0.4">
      <c r="B3" s="168" t="s">
        <v>665</v>
      </c>
    </row>
    <row r="4" spans="2:4" ht="21" x14ac:dyDescent="0.4">
      <c r="B4" s="168" t="s">
        <v>667</v>
      </c>
    </row>
    <row r="5" spans="2:4" ht="21" x14ac:dyDescent="0.4">
      <c r="B5" s="168" t="s">
        <v>666</v>
      </c>
    </row>
    <row r="7" spans="2:4" x14ac:dyDescent="0.3">
      <c r="B7" t="s">
        <v>224</v>
      </c>
    </row>
    <row r="8" spans="2:4" x14ac:dyDescent="0.3">
      <c r="B8" t="s">
        <v>225</v>
      </c>
    </row>
    <row r="9" spans="2:4" x14ac:dyDescent="0.3">
      <c r="B9" t="s">
        <v>226</v>
      </c>
    </row>
    <row r="10" spans="2:4" x14ac:dyDescent="0.3">
      <c r="B10" t="s">
        <v>227</v>
      </c>
    </row>
    <row r="12" spans="2:4" x14ac:dyDescent="0.3">
      <c r="B12" t="s">
        <v>228</v>
      </c>
    </row>
    <row r="14" spans="2:4" x14ac:dyDescent="0.3">
      <c r="B14" s="82" t="s">
        <v>229</v>
      </c>
      <c r="C14" s="82" t="s">
        <v>119</v>
      </c>
      <c r="D14" s="82" t="s">
        <v>230</v>
      </c>
    </row>
    <row r="15" spans="2:4" x14ac:dyDescent="0.3">
      <c r="B15" s="73" t="s">
        <v>231</v>
      </c>
      <c r="C15" s="73">
        <v>78</v>
      </c>
      <c r="D15" s="83" t="str" cm="1">
        <f t="array" ref="D15:D18">_xlfn.IFS(C15:C18&gt;=80,"EXCELLENT",C15:C18&gt;=60,"GOOD",C15:C18&lt;80,"GOOD",C15:C18&lt;60,"FAIL")</f>
        <v>GOOD</v>
      </c>
    </row>
    <row r="16" spans="2:4" x14ac:dyDescent="0.3">
      <c r="B16" s="73" t="s">
        <v>232</v>
      </c>
      <c r="C16" s="73">
        <v>85</v>
      </c>
      <c r="D16" s="83" t="str">
        <v>EXCELLENT</v>
      </c>
    </row>
    <row r="17" spans="2:4" x14ac:dyDescent="0.3">
      <c r="B17" s="73" t="s">
        <v>233</v>
      </c>
      <c r="C17" s="73">
        <v>44</v>
      </c>
      <c r="D17" s="83" t="str">
        <v>GOOD</v>
      </c>
    </row>
    <row r="18" spans="2:4" x14ac:dyDescent="0.3">
      <c r="B18" s="73" t="s">
        <v>234</v>
      </c>
      <c r="C18" s="73">
        <v>61</v>
      </c>
      <c r="D18" s="83" t="str">
        <v>GOOD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31895-34DE-41E3-8AE5-BD410C14025E}">
  <dimension ref="B3:I24"/>
  <sheetViews>
    <sheetView workbookViewId="0">
      <selection activeCell="J19" sqref="J19"/>
    </sheetView>
  </sheetViews>
  <sheetFormatPr defaultRowHeight="14.4" x14ac:dyDescent="0.3"/>
  <cols>
    <col min="3" max="3" width="16.21875" customWidth="1"/>
  </cols>
  <sheetData>
    <row r="3" spans="2:9" ht="21" x14ac:dyDescent="0.4">
      <c r="B3" s="168" t="s">
        <v>668</v>
      </c>
      <c r="C3" s="168"/>
      <c r="D3" s="168"/>
      <c r="E3" s="168"/>
      <c r="F3" s="168"/>
      <c r="G3" s="168"/>
      <c r="H3" s="168"/>
      <c r="I3" s="168"/>
    </row>
    <row r="4" spans="2:9" ht="21" x14ac:dyDescent="0.4">
      <c r="B4" s="168" t="s">
        <v>236</v>
      </c>
      <c r="C4" s="168"/>
      <c r="D4" s="168"/>
      <c r="E4" s="168"/>
      <c r="F4" s="168"/>
      <c r="G4" s="168"/>
      <c r="H4" s="168"/>
      <c r="I4" s="168"/>
    </row>
    <row r="7" spans="2:9" x14ac:dyDescent="0.3">
      <c r="B7" s="6" t="s">
        <v>235</v>
      </c>
    </row>
    <row r="8" spans="2:9" x14ac:dyDescent="0.3">
      <c r="B8" s="6" t="s">
        <v>236</v>
      </c>
    </row>
    <row r="10" spans="2:9" x14ac:dyDescent="0.3">
      <c r="B10" s="49"/>
    </row>
    <row r="11" spans="2:9" x14ac:dyDescent="0.3">
      <c r="B11" s="49" t="s">
        <v>23</v>
      </c>
      <c r="C11" s="49" t="s">
        <v>237</v>
      </c>
    </row>
    <row r="12" spans="2:9" x14ac:dyDescent="0.3">
      <c r="B12" s="6" t="s">
        <v>238</v>
      </c>
      <c r="C12" s="84">
        <v>759</v>
      </c>
    </row>
    <row r="13" spans="2:9" x14ac:dyDescent="0.3">
      <c r="B13" s="6" t="s">
        <v>239</v>
      </c>
      <c r="C13" s="84">
        <v>200</v>
      </c>
    </row>
    <row r="14" spans="2:9" x14ac:dyDescent="0.3">
      <c r="B14" s="6" t="s">
        <v>240</v>
      </c>
      <c r="C14" s="84">
        <v>42</v>
      </c>
    </row>
    <row r="15" spans="2:9" x14ac:dyDescent="0.3">
      <c r="B15" s="6" t="s">
        <v>241</v>
      </c>
      <c r="C15" s="84">
        <v>423</v>
      </c>
    </row>
    <row r="16" spans="2:9" x14ac:dyDescent="0.3">
      <c r="B16" s="6" t="s">
        <v>242</v>
      </c>
      <c r="C16" s="84">
        <v>200</v>
      </c>
    </row>
    <row r="17" spans="2:5" x14ac:dyDescent="0.3">
      <c r="B17" s="6" t="s">
        <v>243</v>
      </c>
      <c r="C17" s="84">
        <v>50</v>
      </c>
    </row>
    <row r="18" spans="2:5" x14ac:dyDescent="0.3">
      <c r="B18" s="6" t="s">
        <v>244</v>
      </c>
      <c r="C18" s="84">
        <v>700</v>
      </c>
    </row>
    <row r="19" spans="2:5" x14ac:dyDescent="0.3">
      <c r="B19" s="6" t="s">
        <v>245</v>
      </c>
      <c r="C19" s="84">
        <v>450</v>
      </c>
    </row>
    <row r="20" spans="2:5" x14ac:dyDescent="0.3">
      <c r="B20" s="6" t="s">
        <v>246</v>
      </c>
      <c r="C20" s="84">
        <v>605</v>
      </c>
    </row>
    <row r="21" spans="2:5" x14ac:dyDescent="0.3">
      <c r="B21" s="6" t="s">
        <v>247</v>
      </c>
      <c r="C21" s="84">
        <v>240</v>
      </c>
    </row>
    <row r="22" spans="2:5" x14ac:dyDescent="0.3">
      <c r="B22" s="6" t="s">
        <v>248</v>
      </c>
      <c r="C22" s="84">
        <v>685</v>
      </c>
    </row>
    <row r="23" spans="2:5" ht="15" thickBot="1" x14ac:dyDescent="0.35">
      <c r="B23" s="6" t="s">
        <v>249</v>
      </c>
      <c r="C23" s="84">
        <v>295</v>
      </c>
    </row>
    <row r="24" spans="2:5" ht="15" thickBot="1" x14ac:dyDescent="0.35">
      <c r="B24" s="6" t="s">
        <v>250</v>
      </c>
      <c r="C24" s="85">
        <f>SUM(C12:C23)</f>
        <v>4649</v>
      </c>
      <c r="D24" s="5" t="s">
        <v>251</v>
      </c>
      <c r="E24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8FFDE-4D17-41D5-BD45-8F0DC43C05A0}">
  <dimension ref="A2:C98"/>
  <sheetViews>
    <sheetView workbookViewId="0">
      <selection activeCell="C2" sqref="C2"/>
    </sheetView>
  </sheetViews>
  <sheetFormatPr defaultRowHeight="14.4" x14ac:dyDescent="0.3"/>
  <cols>
    <col min="1" max="1" width="11.21875" customWidth="1"/>
    <col min="2" max="2" width="12.33203125" customWidth="1"/>
  </cols>
  <sheetData>
    <row r="2" spans="1:2" ht="21" x14ac:dyDescent="0.4">
      <c r="B2" s="168" t="s">
        <v>669</v>
      </c>
    </row>
    <row r="4" spans="1:2" x14ac:dyDescent="0.3">
      <c r="A4" s="6"/>
    </row>
    <row r="5" spans="1:2" x14ac:dyDescent="0.3">
      <c r="A5" s="6" t="s">
        <v>252</v>
      </c>
    </row>
    <row r="7" spans="1:2" x14ac:dyDescent="0.3">
      <c r="A7" s="86" t="s">
        <v>253</v>
      </c>
      <c r="B7" s="87" t="s">
        <v>254</v>
      </c>
    </row>
    <row r="8" spans="1:2" x14ac:dyDescent="0.3">
      <c r="A8" s="88">
        <v>42005</v>
      </c>
      <c r="B8" s="89">
        <v>432.17</v>
      </c>
    </row>
    <row r="9" spans="1:2" x14ac:dyDescent="0.3">
      <c r="A9" s="88">
        <v>42351</v>
      </c>
      <c r="B9" s="89">
        <v>528.5</v>
      </c>
    </row>
    <row r="10" spans="1:2" x14ac:dyDescent="0.3">
      <c r="A10" s="88">
        <v>42007</v>
      </c>
      <c r="B10" s="89">
        <v>810.71</v>
      </c>
    </row>
    <row r="11" spans="1:2" x14ac:dyDescent="0.3">
      <c r="A11" s="88">
        <v>42008</v>
      </c>
      <c r="B11" s="89">
        <v>418.54</v>
      </c>
    </row>
    <row r="12" spans="1:2" x14ac:dyDescent="0.3">
      <c r="A12" s="88">
        <v>42009</v>
      </c>
      <c r="B12" s="89">
        <v>722.22</v>
      </c>
    </row>
    <row r="13" spans="1:2" x14ac:dyDescent="0.3">
      <c r="A13" s="88">
        <v>42010</v>
      </c>
      <c r="B13" s="89">
        <v>460.28</v>
      </c>
    </row>
    <row r="14" spans="1:2" x14ac:dyDescent="0.3">
      <c r="A14" s="88">
        <v>42349</v>
      </c>
      <c r="B14" s="89">
        <v>483.58</v>
      </c>
    </row>
    <row r="15" spans="1:2" x14ac:dyDescent="0.3">
      <c r="A15" s="88">
        <v>42012</v>
      </c>
      <c r="B15" s="89">
        <v>114.53</v>
      </c>
    </row>
    <row r="16" spans="1:2" x14ac:dyDescent="0.3">
      <c r="A16" s="88">
        <v>42013</v>
      </c>
      <c r="B16" s="89">
        <v>609.12</v>
      </c>
    </row>
    <row r="17" spans="1:2" x14ac:dyDescent="0.3">
      <c r="A17" s="88">
        <v>42014</v>
      </c>
      <c r="B17" s="89">
        <v>1197.9000000000001</v>
      </c>
    </row>
    <row r="18" spans="1:2" x14ac:dyDescent="0.3">
      <c r="A18" s="88">
        <v>42015</v>
      </c>
      <c r="B18" s="89">
        <v>228.89</v>
      </c>
    </row>
    <row r="19" spans="1:2" x14ac:dyDescent="0.3">
      <c r="A19" s="88">
        <v>42016</v>
      </c>
      <c r="B19" s="89">
        <v>1380.07</v>
      </c>
    </row>
    <row r="20" spans="1:2" x14ac:dyDescent="0.3">
      <c r="A20" s="88">
        <v>42017</v>
      </c>
      <c r="B20" s="89">
        <v>1026.96</v>
      </c>
    </row>
    <row r="21" spans="1:2" x14ac:dyDescent="0.3">
      <c r="A21" s="88">
        <v>42018</v>
      </c>
      <c r="B21" s="89">
        <v>760.24</v>
      </c>
    </row>
    <row r="22" spans="1:2" x14ac:dyDescent="0.3">
      <c r="A22" s="88">
        <v>42019</v>
      </c>
      <c r="B22" s="89">
        <v>414.11</v>
      </c>
    </row>
    <row r="23" spans="1:2" x14ac:dyDescent="0.3">
      <c r="A23" s="88">
        <v>42020</v>
      </c>
      <c r="B23" s="89">
        <v>1728.81</v>
      </c>
    </row>
    <row r="24" spans="1:2" x14ac:dyDescent="0.3">
      <c r="A24" s="88">
        <v>42021</v>
      </c>
      <c r="B24" s="89">
        <v>276.06</v>
      </c>
    </row>
    <row r="25" spans="1:2" x14ac:dyDescent="0.3">
      <c r="A25" s="88">
        <v>42022</v>
      </c>
      <c r="B25" s="89">
        <v>462.22</v>
      </c>
    </row>
    <row r="26" spans="1:2" x14ac:dyDescent="0.3">
      <c r="A26" s="88">
        <v>42023</v>
      </c>
      <c r="B26" s="89">
        <v>1281.0999999999999</v>
      </c>
    </row>
    <row r="27" spans="1:2" x14ac:dyDescent="0.3">
      <c r="A27" s="88">
        <v>42024</v>
      </c>
      <c r="B27" s="89">
        <v>1113.7</v>
      </c>
    </row>
    <row r="28" spans="1:2" x14ac:dyDescent="0.3">
      <c r="A28" s="88">
        <v>42025</v>
      </c>
      <c r="B28" s="89">
        <v>594.09</v>
      </c>
    </row>
    <row r="29" spans="1:2" x14ac:dyDescent="0.3">
      <c r="A29" s="88">
        <v>42026</v>
      </c>
      <c r="B29" s="89">
        <v>432.67</v>
      </c>
    </row>
    <row r="30" spans="1:2" x14ac:dyDescent="0.3">
      <c r="A30" s="88">
        <v>42027</v>
      </c>
      <c r="B30" s="89">
        <v>874.45</v>
      </c>
    </row>
    <row r="31" spans="1:2" x14ac:dyDescent="0.3">
      <c r="A31" s="88">
        <v>42028</v>
      </c>
      <c r="B31" s="89">
        <v>880.38</v>
      </c>
    </row>
    <row r="32" spans="1:2" x14ac:dyDescent="0.3">
      <c r="A32" s="88">
        <v>42029</v>
      </c>
      <c r="B32" s="89">
        <v>798.53</v>
      </c>
    </row>
    <row r="33" spans="1:2" x14ac:dyDescent="0.3">
      <c r="A33" s="88">
        <v>42318</v>
      </c>
      <c r="B33" s="89">
        <v>572.41999999999996</v>
      </c>
    </row>
    <row r="34" spans="1:2" x14ac:dyDescent="0.3">
      <c r="A34" s="88">
        <v>42031</v>
      </c>
      <c r="B34" s="89">
        <v>330.61</v>
      </c>
    </row>
    <row r="35" spans="1:2" x14ac:dyDescent="0.3">
      <c r="A35" s="88">
        <v>42032</v>
      </c>
      <c r="B35" s="89">
        <v>567.17999999999995</v>
      </c>
    </row>
    <row r="36" spans="1:2" x14ac:dyDescent="0.3">
      <c r="A36" s="88">
        <v>42033</v>
      </c>
      <c r="B36" s="89">
        <v>1449.21</v>
      </c>
    </row>
    <row r="37" spans="1:2" x14ac:dyDescent="0.3">
      <c r="A37" s="88">
        <v>42034</v>
      </c>
      <c r="B37" s="89">
        <v>459.29</v>
      </c>
    </row>
    <row r="38" spans="1:2" x14ac:dyDescent="0.3">
      <c r="A38" s="88">
        <v>42035</v>
      </c>
      <c r="B38" s="89">
        <v>357.55</v>
      </c>
    </row>
    <row r="39" spans="1:2" x14ac:dyDescent="0.3">
      <c r="A39" s="88">
        <v>42036</v>
      </c>
      <c r="B39" s="89">
        <v>154.34</v>
      </c>
    </row>
    <row r="40" spans="1:2" x14ac:dyDescent="0.3">
      <c r="A40" s="88">
        <v>42037</v>
      </c>
      <c r="B40" s="89">
        <v>152.76</v>
      </c>
    </row>
    <row r="41" spans="1:2" x14ac:dyDescent="0.3">
      <c r="A41" s="88">
        <v>42038</v>
      </c>
      <c r="B41" s="89">
        <v>570.22</v>
      </c>
    </row>
    <row r="42" spans="1:2" x14ac:dyDescent="0.3">
      <c r="A42" s="88">
        <v>42039</v>
      </c>
      <c r="B42" s="89">
        <v>987.62</v>
      </c>
    </row>
    <row r="43" spans="1:2" x14ac:dyDescent="0.3">
      <c r="A43" s="88">
        <v>42040</v>
      </c>
      <c r="B43" s="89">
        <v>1755.71</v>
      </c>
    </row>
    <row r="44" spans="1:2" x14ac:dyDescent="0.3">
      <c r="A44" s="88">
        <v>42041</v>
      </c>
      <c r="B44" s="89">
        <v>378.27</v>
      </c>
    </row>
    <row r="45" spans="1:2" x14ac:dyDescent="0.3">
      <c r="A45" s="88">
        <v>42042</v>
      </c>
      <c r="B45" s="89">
        <v>1323.81</v>
      </c>
    </row>
    <row r="46" spans="1:2" x14ac:dyDescent="0.3">
      <c r="A46" s="88">
        <v>42043</v>
      </c>
      <c r="B46" s="89">
        <v>399.02</v>
      </c>
    </row>
    <row r="47" spans="1:2" x14ac:dyDescent="0.3">
      <c r="A47" s="88">
        <v>42044</v>
      </c>
      <c r="B47" s="89">
        <v>154.94999999999999</v>
      </c>
    </row>
    <row r="48" spans="1:2" x14ac:dyDescent="0.3">
      <c r="A48" s="88">
        <v>42045</v>
      </c>
      <c r="B48" s="89">
        <v>1254.57</v>
      </c>
    </row>
    <row r="49" spans="1:2" x14ac:dyDescent="0.3">
      <c r="A49" s="88">
        <v>42046</v>
      </c>
      <c r="B49" s="89">
        <v>627.32000000000005</v>
      </c>
    </row>
    <row r="50" spans="1:2" x14ac:dyDescent="0.3">
      <c r="A50" s="88">
        <v>42230</v>
      </c>
      <c r="B50" s="89">
        <v>880.6</v>
      </c>
    </row>
    <row r="51" spans="1:2" x14ac:dyDescent="0.3">
      <c r="A51" s="88">
        <v>42048</v>
      </c>
      <c r="B51" s="89">
        <v>1196.03</v>
      </c>
    </row>
    <row r="52" spans="1:2" x14ac:dyDescent="0.3">
      <c r="A52" s="88">
        <v>42049</v>
      </c>
      <c r="B52" s="89">
        <v>782.32</v>
      </c>
    </row>
    <row r="53" spans="1:2" x14ac:dyDescent="0.3">
      <c r="A53" s="88">
        <v>42050</v>
      </c>
      <c r="B53" s="89">
        <v>1323.35</v>
      </c>
    </row>
    <row r="54" spans="1:2" x14ac:dyDescent="0.3">
      <c r="A54" s="88">
        <v>42051</v>
      </c>
      <c r="B54" s="89">
        <v>209.92</v>
      </c>
    </row>
    <row r="55" spans="1:2" x14ac:dyDescent="0.3">
      <c r="A55" s="88">
        <v>42052</v>
      </c>
      <c r="B55" s="89">
        <v>1232.05</v>
      </c>
    </row>
    <row r="56" spans="1:2" x14ac:dyDescent="0.3">
      <c r="A56" s="88">
        <v>42053</v>
      </c>
      <c r="B56" s="89">
        <v>713.28</v>
      </c>
    </row>
    <row r="57" spans="1:2" x14ac:dyDescent="0.3">
      <c r="A57" s="88">
        <v>42054</v>
      </c>
      <c r="B57" s="89">
        <v>1674.82</v>
      </c>
    </row>
    <row r="58" spans="1:2" x14ac:dyDescent="0.3">
      <c r="A58" s="88">
        <v>42055</v>
      </c>
      <c r="B58" s="89">
        <v>1161.25</v>
      </c>
    </row>
    <row r="59" spans="1:2" x14ac:dyDescent="0.3">
      <c r="A59" s="88">
        <v>42056</v>
      </c>
      <c r="B59" s="89">
        <v>897.63</v>
      </c>
    </row>
    <row r="60" spans="1:2" x14ac:dyDescent="0.3">
      <c r="A60" s="88">
        <v>42057</v>
      </c>
      <c r="B60" s="89">
        <v>1647.26</v>
      </c>
    </row>
    <row r="61" spans="1:2" x14ac:dyDescent="0.3">
      <c r="A61" s="88">
        <v>42058</v>
      </c>
      <c r="B61" s="89">
        <v>1121.96</v>
      </c>
    </row>
    <row r="62" spans="1:2" x14ac:dyDescent="0.3">
      <c r="A62" s="88">
        <v>42059</v>
      </c>
      <c r="B62" s="89">
        <v>352.2</v>
      </c>
    </row>
    <row r="63" spans="1:2" x14ac:dyDescent="0.3">
      <c r="A63" s="88">
        <v>42060</v>
      </c>
      <c r="B63" s="89">
        <v>270.77999999999997</v>
      </c>
    </row>
    <row r="64" spans="1:2" x14ac:dyDescent="0.3">
      <c r="A64" s="88">
        <v>42061</v>
      </c>
      <c r="B64" s="89">
        <v>456.41</v>
      </c>
    </row>
    <row r="65" spans="1:2" x14ac:dyDescent="0.3">
      <c r="A65" s="88">
        <v>42062</v>
      </c>
      <c r="B65" s="89">
        <v>441</v>
      </c>
    </row>
    <row r="66" spans="1:2" x14ac:dyDescent="0.3">
      <c r="A66" s="88">
        <v>42063</v>
      </c>
      <c r="B66" s="89">
        <v>252.44</v>
      </c>
    </row>
    <row r="67" spans="1:2" x14ac:dyDescent="0.3">
      <c r="A67" s="88">
        <v>42064</v>
      </c>
      <c r="B67" s="89">
        <v>1298.92</v>
      </c>
    </row>
    <row r="68" spans="1:2" x14ac:dyDescent="0.3">
      <c r="A68" s="88">
        <v>42065</v>
      </c>
      <c r="B68" s="89">
        <v>1178.07</v>
      </c>
    </row>
    <row r="69" spans="1:2" x14ac:dyDescent="0.3">
      <c r="A69" s="88">
        <v>42066</v>
      </c>
      <c r="B69" s="89">
        <v>459.95</v>
      </c>
    </row>
    <row r="70" spans="1:2" x14ac:dyDescent="0.3">
      <c r="A70" s="88">
        <v>42067</v>
      </c>
      <c r="B70" s="89">
        <v>1219.7</v>
      </c>
    </row>
    <row r="71" spans="1:2" x14ac:dyDescent="0.3">
      <c r="A71" s="88">
        <v>42068</v>
      </c>
      <c r="B71" s="89">
        <v>152.24</v>
      </c>
    </row>
    <row r="72" spans="1:2" x14ac:dyDescent="0.3">
      <c r="A72" s="88">
        <v>42069</v>
      </c>
      <c r="B72" s="89">
        <v>770.8</v>
      </c>
    </row>
    <row r="73" spans="1:2" x14ac:dyDescent="0.3">
      <c r="A73" s="88">
        <v>42070</v>
      </c>
      <c r="B73" s="89">
        <v>1357.25</v>
      </c>
    </row>
    <row r="74" spans="1:2" x14ac:dyDescent="0.3">
      <c r="A74" s="88">
        <v>42187</v>
      </c>
      <c r="B74" s="89">
        <v>220.18</v>
      </c>
    </row>
    <row r="75" spans="1:2" x14ac:dyDescent="0.3">
      <c r="A75" s="88">
        <v>42072</v>
      </c>
      <c r="B75" s="89">
        <v>1102.81</v>
      </c>
    </row>
    <row r="76" spans="1:2" x14ac:dyDescent="0.3">
      <c r="A76" s="88">
        <v>42073</v>
      </c>
      <c r="B76" s="89">
        <v>1566.83</v>
      </c>
    </row>
    <row r="77" spans="1:2" x14ac:dyDescent="0.3">
      <c r="A77" s="88">
        <v>42074</v>
      </c>
      <c r="B77" s="89">
        <v>437.92</v>
      </c>
    </row>
    <row r="78" spans="1:2" x14ac:dyDescent="0.3">
      <c r="A78" s="88">
        <v>42075</v>
      </c>
      <c r="B78" s="89">
        <v>1216.1199999999999</v>
      </c>
    </row>
    <row r="79" spans="1:2" x14ac:dyDescent="0.3">
      <c r="A79" s="88">
        <v>42076</v>
      </c>
      <c r="B79" s="89">
        <v>273.10000000000002</v>
      </c>
    </row>
    <row r="80" spans="1:2" x14ac:dyDescent="0.3">
      <c r="A80" s="88">
        <v>42077</v>
      </c>
      <c r="B80" s="89">
        <v>242.26</v>
      </c>
    </row>
    <row r="81" spans="1:2" x14ac:dyDescent="0.3">
      <c r="A81" s="88">
        <v>42078</v>
      </c>
      <c r="B81" s="89">
        <v>1512.6</v>
      </c>
    </row>
    <row r="82" spans="1:2" x14ac:dyDescent="0.3">
      <c r="A82" s="88">
        <v>42079</v>
      </c>
      <c r="B82" s="89">
        <v>783.75</v>
      </c>
    </row>
    <row r="83" spans="1:2" x14ac:dyDescent="0.3">
      <c r="A83" s="88">
        <v>42189</v>
      </c>
      <c r="B83" s="89">
        <v>667.99</v>
      </c>
    </row>
    <row r="84" spans="1:2" x14ac:dyDescent="0.3">
      <c r="A84" s="88">
        <v>42081</v>
      </c>
      <c r="B84" s="89">
        <v>1166.31</v>
      </c>
    </row>
    <row r="85" spans="1:2" x14ac:dyDescent="0.3">
      <c r="A85" s="88">
        <v>42082</v>
      </c>
      <c r="B85" s="89">
        <v>770.18</v>
      </c>
    </row>
    <row r="86" spans="1:2" x14ac:dyDescent="0.3">
      <c r="A86" s="88">
        <v>42083</v>
      </c>
      <c r="B86" s="89">
        <v>132.34</v>
      </c>
    </row>
    <row r="87" spans="1:2" x14ac:dyDescent="0.3">
      <c r="A87" s="88">
        <v>42084</v>
      </c>
      <c r="B87" s="89">
        <v>1188.81</v>
      </c>
    </row>
    <row r="88" spans="1:2" x14ac:dyDescent="0.3">
      <c r="A88" s="88">
        <v>42085</v>
      </c>
      <c r="B88" s="89">
        <v>198.06</v>
      </c>
    </row>
    <row r="89" spans="1:2" x14ac:dyDescent="0.3">
      <c r="A89" s="88">
        <v>42086</v>
      </c>
      <c r="B89" s="89">
        <v>594.16999999999996</v>
      </c>
    </row>
    <row r="90" spans="1:2" x14ac:dyDescent="0.3">
      <c r="A90" s="88">
        <v>42087</v>
      </c>
      <c r="B90" s="89">
        <v>931.09</v>
      </c>
    </row>
    <row r="91" spans="1:2" x14ac:dyDescent="0.3">
      <c r="A91" s="88">
        <v>42088</v>
      </c>
      <c r="B91" s="89">
        <v>299.64</v>
      </c>
    </row>
    <row r="92" spans="1:2" x14ac:dyDescent="0.3">
      <c r="A92" s="88">
        <v>42223</v>
      </c>
      <c r="B92" s="89">
        <v>1701.68</v>
      </c>
    </row>
    <row r="93" spans="1:2" x14ac:dyDescent="0.3">
      <c r="A93" s="88">
        <v>42090</v>
      </c>
      <c r="B93" s="89">
        <v>399.15</v>
      </c>
    </row>
    <row r="94" spans="1:2" x14ac:dyDescent="0.3">
      <c r="A94" s="88">
        <v>42091</v>
      </c>
      <c r="B94" s="89">
        <v>374.81</v>
      </c>
    </row>
    <row r="95" spans="1:2" x14ac:dyDescent="0.3">
      <c r="A95" s="88">
        <v>42092</v>
      </c>
      <c r="B95" s="89">
        <v>462.17</v>
      </c>
    </row>
    <row r="96" spans="1:2" x14ac:dyDescent="0.3">
      <c r="A96" s="88">
        <v>42093</v>
      </c>
      <c r="B96" s="89">
        <v>924.29</v>
      </c>
    </row>
    <row r="97" spans="1:3" x14ac:dyDescent="0.3">
      <c r="A97" s="88">
        <v>42094</v>
      </c>
      <c r="B97" s="89">
        <v>5000.6000000000004</v>
      </c>
    </row>
    <row r="98" spans="1:3" x14ac:dyDescent="0.3">
      <c r="A98" s="90"/>
      <c r="B98" s="91">
        <f>SUM(B7:B97)</f>
        <v>72741.76999999996</v>
      </c>
      <c r="C98" s="5" t="s">
        <v>251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C2BB4-1B8B-4815-A8A3-1D88EFA6834F}">
  <dimension ref="B2:K186"/>
  <sheetViews>
    <sheetView workbookViewId="0">
      <selection activeCell="A5" sqref="A5:XFD10"/>
    </sheetView>
  </sheetViews>
  <sheetFormatPr defaultRowHeight="14.4" x14ac:dyDescent="0.3"/>
  <cols>
    <col min="4" max="4" width="13.5546875" customWidth="1"/>
  </cols>
  <sheetData>
    <row r="2" spans="2:11" ht="21" x14ac:dyDescent="0.4">
      <c r="B2" s="168" t="s">
        <v>670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1" ht="21" x14ac:dyDescent="0.4">
      <c r="B3" s="168" t="s">
        <v>671</v>
      </c>
      <c r="C3" s="168"/>
      <c r="D3" s="168"/>
      <c r="E3" s="168"/>
      <c r="F3" s="168"/>
      <c r="G3" s="168"/>
      <c r="H3" s="168"/>
      <c r="I3" s="168"/>
      <c r="J3" s="168"/>
      <c r="K3" s="168"/>
    </row>
    <row r="5" spans="2:11" x14ac:dyDescent="0.3">
      <c r="B5" s="5">
        <v>1</v>
      </c>
      <c r="C5" s="6" t="s">
        <v>255</v>
      </c>
    </row>
    <row r="7" spans="2:11" x14ac:dyDescent="0.3">
      <c r="C7" s="5" t="s">
        <v>256</v>
      </c>
      <c r="D7" s="92" t="s">
        <v>257</v>
      </c>
      <c r="F7" s="49"/>
    </row>
    <row r="8" spans="2:11" x14ac:dyDescent="0.3">
      <c r="C8" s="6" t="s">
        <v>258</v>
      </c>
      <c r="D8" s="91">
        <f>SUM(E29:E186)</f>
        <v>99498</v>
      </c>
      <c r="E8" s="6"/>
      <c r="F8" s="6"/>
    </row>
    <row r="10" spans="2:11" x14ac:dyDescent="0.3">
      <c r="C10" s="5" t="s">
        <v>256</v>
      </c>
      <c r="D10" s="92" t="s">
        <v>259</v>
      </c>
    </row>
    <row r="11" spans="2:11" x14ac:dyDescent="0.3">
      <c r="C11" s="6" t="s">
        <v>258</v>
      </c>
      <c r="D11" s="91">
        <f>SUM(F29:F186)</f>
        <v>211409</v>
      </c>
      <c r="E11" s="6"/>
    </row>
    <row r="13" spans="2:11" x14ac:dyDescent="0.3">
      <c r="C13" s="5" t="s">
        <v>256</v>
      </c>
      <c r="D13" s="92" t="s">
        <v>260</v>
      </c>
    </row>
    <row r="14" spans="2:11" x14ac:dyDescent="0.3">
      <c r="C14" s="6" t="s">
        <v>258</v>
      </c>
      <c r="D14" s="91">
        <f>SUM(G29:G186)</f>
        <v>127820</v>
      </c>
      <c r="E14" s="6"/>
    </row>
    <row r="16" spans="2:11" x14ac:dyDescent="0.3">
      <c r="B16" s="5">
        <v>2</v>
      </c>
      <c r="C16" s="93" t="s">
        <v>261</v>
      </c>
      <c r="D16" s="94"/>
      <c r="E16" s="94"/>
      <c r="F16" s="94"/>
    </row>
    <row r="17" spans="2:7" x14ac:dyDescent="0.3">
      <c r="D17" s="95">
        <f>SUM(E31:G31)</f>
        <v>5124</v>
      </c>
      <c r="E17" s="6"/>
      <c r="F17" s="6"/>
      <c r="G17" s="6"/>
    </row>
    <row r="19" spans="2:7" x14ac:dyDescent="0.3">
      <c r="B19" s="5">
        <v>3</v>
      </c>
      <c r="C19" s="93" t="s">
        <v>262</v>
      </c>
      <c r="D19" s="94"/>
      <c r="E19" s="94"/>
      <c r="F19" s="94"/>
      <c r="G19" s="94"/>
    </row>
    <row r="20" spans="2:7" x14ac:dyDescent="0.3">
      <c r="D20" s="95">
        <f>SUM(E29:G48)</f>
        <v>89884</v>
      </c>
      <c r="E20" s="6"/>
      <c r="F20" s="96"/>
      <c r="G20" s="6"/>
    </row>
    <row r="21" spans="2:7" x14ac:dyDescent="0.3">
      <c r="F21" s="96"/>
      <c r="G21" s="6"/>
    </row>
    <row r="22" spans="2:7" x14ac:dyDescent="0.3">
      <c r="B22" s="5">
        <v>4</v>
      </c>
      <c r="C22" s="93" t="s">
        <v>263</v>
      </c>
      <c r="D22" s="94"/>
      <c r="E22" s="94"/>
      <c r="F22" s="94"/>
      <c r="G22" s="94"/>
    </row>
    <row r="23" spans="2:7" x14ac:dyDescent="0.3">
      <c r="C23" s="6" t="s">
        <v>264</v>
      </c>
      <c r="D23" s="97">
        <f>SUM(E29:E186)</f>
        <v>99498</v>
      </c>
      <c r="E23" s="6"/>
      <c r="G23" s="5"/>
    </row>
    <row r="24" spans="2:7" x14ac:dyDescent="0.3">
      <c r="C24" s="6" t="s">
        <v>265</v>
      </c>
      <c r="D24" s="98">
        <f>SUM(G29:G186)</f>
        <v>127820</v>
      </c>
      <c r="E24" s="6"/>
      <c r="G24" s="6"/>
    </row>
    <row r="25" spans="2:7" x14ac:dyDescent="0.3">
      <c r="C25" s="6"/>
      <c r="G25" s="6"/>
    </row>
    <row r="26" spans="2:7" x14ac:dyDescent="0.3">
      <c r="G26" s="6"/>
    </row>
    <row r="27" spans="2:7" x14ac:dyDescent="0.3">
      <c r="E27" s="172" t="s">
        <v>256</v>
      </c>
      <c r="F27" s="173"/>
      <c r="G27" s="174"/>
    </row>
    <row r="28" spans="2:7" x14ac:dyDescent="0.3">
      <c r="C28" s="99" t="s">
        <v>266</v>
      </c>
      <c r="D28" s="100" t="s">
        <v>267</v>
      </c>
      <c r="E28" s="92" t="s">
        <v>257</v>
      </c>
      <c r="F28" s="92" t="s">
        <v>259</v>
      </c>
      <c r="G28" s="92" t="s">
        <v>260</v>
      </c>
    </row>
    <row r="29" spans="2:7" x14ac:dyDescent="0.3">
      <c r="C29" s="101" t="s">
        <v>268</v>
      </c>
      <c r="D29" s="101" t="s">
        <v>269</v>
      </c>
      <c r="E29" s="102">
        <v>3419</v>
      </c>
      <c r="F29" s="102">
        <v>4378</v>
      </c>
      <c r="G29" s="103">
        <v>2755</v>
      </c>
    </row>
    <row r="30" spans="2:7" x14ac:dyDescent="0.3">
      <c r="C30" s="101" t="s">
        <v>268</v>
      </c>
      <c r="D30" s="101" t="s">
        <v>270</v>
      </c>
      <c r="E30" s="102">
        <v>1492</v>
      </c>
      <c r="F30" s="102">
        <v>2126</v>
      </c>
      <c r="G30" s="103">
        <v>2103</v>
      </c>
    </row>
    <row r="31" spans="2:7" x14ac:dyDescent="0.3">
      <c r="C31" s="101" t="s">
        <v>268</v>
      </c>
      <c r="D31" s="101" t="s">
        <v>271</v>
      </c>
      <c r="E31" s="102">
        <v>1371</v>
      </c>
      <c r="F31" s="102">
        <v>1930</v>
      </c>
      <c r="G31" s="103">
        <v>1823</v>
      </c>
    </row>
    <row r="32" spans="2:7" x14ac:dyDescent="0.3">
      <c r="C32" s="101" t="s">
        <v>268</v>
      </c>
      <c r="D32" s="101" t="s">
        <v>272</v>
      </c>
      <c r="E32" s="102">
        <v>1607</v>
      </c>
      <c r="F32" s="102">
        <v>2133</v>
      </c>
      <c r="G32" s="103">
        <v>2102</v>
      </c>
    </row>
    <row r="33" spans="3:7" x14ac:dyDescent="0.3">
      <c r="C33" s="101" t="s">
        <v>268</v>
      </c>
      <c r="D33" s="101" t="s">
        <v>273</v>
      </c>
      <c r="E33" s="102">
        <v>951</v>
      </c>
      <c r="F33" s="102">
        <v>1445</v>
      </c>
      <c r="G33" s="103">
        <v>1416</v>
      </c>
    </row>
    <row r="34" spans="3:7" x14ac:dyDescent="0.3">
      <c r="C34" s="101" t="s">
        <v>268</v>
      </c>
      <c r="D34" s="101" t="s">
        <v>274</v>
      </c>
      <c r="E34" s="102">
        <v>889</v>
      </c>
      <c r="F34" s="102">
        <v>1293</v>
      </c>
      <c r="G34" s="103">
        <v>1526</v>
      </c>
    </row>
    <row r="35" spans="3:7" x14ac:dyDescent="0.3">
      <c r="C35" s="101" t="s">
        <v>268</v>
      </c>
      <c r="D35" s="101" t="s">
        <v>275</v>
      </c>
      <c r="E35" s="102">
        <v>1254</v>
      </c>
      <c r="F35" s="102">
        <v>1989</v>
      </c>
      <c r="G35" s="103">
        <v>1685</v>
      </c>
    </row>
    <row r="36" spans="3:7" x14ac:dyDescent="0.3">
      <c r="C36" s="101" t="s">
        <v>268</v>
      </c>
      <c r="D36" s="101" t="s">
        <v>276</v>
      </c>
      <c r="E36" s="102">
        <v>1025</v>
      </c>
      <c r="F36" s="102">
        <v>1362</v>
      </c>
      <c r="G36" s="103">
        <v>2077</v>
      </c>
    </row>
    <row r="37" spans="3:7" x14ac:dyDescent="0.3">
      <c r="C37" s="101" t="s">
        <v>268</v>
      </c>
      <c r="D37" s="101" t="s">
        <v>277</v>
      </c>
      <c r="E37" s="102">
        <v>1194</v>
      </c>
      <c r="F37" s="102">
        <v>2016</v>
      </c>
      <c r="G37" s="103">
        <v>1452</v>
      </c>
    </row>
    <row r="38" spans="3:7" x14ac:dyDescent="0.3">
      <c r="C38" s="101" t="s">
        <v>268</v>
      </c>
      <c r="D38" s="101" t="s">
        <v>278</v>
      </c>
      <c r="E38" s="102">
        <v>607</v>
      </c>
      <c r="F38" s="102">
        <v>853</v>
      </c>
      <c r="G38" s="103">
        <v>1022</v>
      </c>
    </row>
    <row r="39" spans="3:7" x14ac:dyDescent="0.3">
      <c r="C39" s="101" t="s">
        <v>268</v>
      </c>
      <c r="D39" s="101" t="s">
        <v>279</v>
      </c>
      <c r="E39" s="102">
        <v>626</v>
      </c>
      <c r="F39" s="102">
        <v>1569</v>
      </c>
      <c r="G39" s="103">
        <v>1033</v>
      </c>
    </row>
    <row r="40" spans="3:7" x14ac:dyDescent="0.3">
      <c r="C40" s="101" t="s">
        <v>268</v>
      </c>
      <c r="D40" s="101" t="s">
        <v>280</v>
      </c>
      <c r="E40" s="102">
        <v>1037</v>
      </c>
      <c r="F40" s="102">
        <v>2300</v>
      </c>
      <c r="G40" s="103">
        <v>1598</v>
      </c>
    </row>
    <row r="41" spans="3:7" x14ac:dyDescent="0.3">
      <c r="C41" s="101" t="s">
        <v>268</v>
      </c>
      <c r="D41" s="101" t="s">
        <v>281</v>
      </c>
      <c r="E41" s="102">
        <v>972</v>
      </c>
      <c r="F41" s="102">
        <v>2128</v>
      </c>
      <c r="G41" s="103">
        <v>912</v>
      </c>
    </row>
    <row r="42" spans="3:7" x14ac:dyDescent="0.3">
      <c r="C42" s="101" t="s">
        <v>268</v>
      </c>
      <c r="D42" s="101" t="s">
        <v>282</v>
      </c>
      <c r="E42" s="102">
        <v>88</v>
      </c>
      <c r="F42" s="102">
        <v>1159</v>
      </c>
      <c r="G42" s="103">
        <v>0</v>
      </c>
    </row>
    <row r="43" spans="3:7" x14ac:dyDescent="0.3">
      <c r="C43" s="101" t="s">
        <v>268</v>
      </c>
      <c r="D43" s="101" t="s">
        <v>283</v>
      </c>
      <c r="E43" s="102">
        <v>2052</v>
      </c>
      <c r="F43" s="102">
        <v>2159</v>
      </c>
      <c r="G43" s="103">
        <v>1582</v>
      </c>
    </row>
    <row r="44" spans="3:7" x14ac:dyDescent="0.3">
      <c r="C44" s="101" t="s">
        <v>268</v>
      </c>
      <c r="D44" s="101" t="s">
        <v>284</v>
      </c>
      <c r="E44" s="102">
        <v>1582</v>
      </c>
      <c r="F44" s="102">
        <v>2308</v>
      </c>
      <c r="G44" s="103">
        <v>1699</v>
      </c>
    </row>
    <row r="45" spans="3:7" x14ac:dyDescent="0.3">
      <c r="C45" s="101" t="s">
        <v>268</v>
      </c>
      <c r="D45" s="101" t="s">
        <v>285</v>
      </c>
      <c r="E45" s="102">
        <v>1088</v>
      </c>
      <c r="F45" s="102">
        <v>1218</v>
      </c>
      <c r="G45" s="103">
        <v>981</v>
      </c>
    </row>
    <row r="46" spans="3:7" x14ac:dyDescent="0.3">
      <c r="C46" s="101" t="s">
        <v>268</v>
      </c>
      <c r="D46" s="101" t="s">
        <v>286</v>
      </c>
      <c r="E46" s="102">
        <v>706</v>
      </c>
      <c r="F46" s="102">
        <v>1151</v>
      </c>
      <c r="G46" s="103">
        <v>1145</v>
      </c>
    </row>
    <row r="47" spans="3:7" x14ac:dyDescent="0.3">
      <c r="C47" s="101" t="s">
        <v>268</v>
      </c>
      <c r="D47" s="101" t="s">
        <v>287</v>
      </c>
      <c r="E47" s="102">
        <v>1335</v>
      </c>
      <c r="F47" s="102">
        <v>2098</v>
      </c>
      <c r="G47" s="103">
        <v>1322</v>
      </c>
    </row>
    <row r="48" spans="3:7" x14ac:dyDescent="0.3">
      <c r="C48" s="101" t="s">
        <v>268</v>
      </c>
      <c r="D48" s="101" t="s">
        <v>288</v>
      </c>
      <c r="E48" s="102">
        <v>702</v>
      </c>
      <c r="F48" s="102">
        <v>1162</v>
      </c>
      <c r="G48" s="103">
        <v>877</v>
      </c>
    </row>
    <row r="49" spans="3:7" x14ac:dyDescent="0.3">
      <c r="C49" s="101" t="s">
        <v>268</v>
      </c>
      <c r="D49" s="101" t="s">
        <v>289</v>
      </c>
      <c r="E49" s="102">
        <v>968</v>
      </c>
      <c r="F49" s="102">
        <v>1101</v>
      </c>
      <c r="G49" s="103">
        <v>797</v>
      </c>
    </row>
    <row r="50" spans="3:7" x14ac:dyDescent="0.3">
      <c r="C50" s="101" t="s">
        <v>268</v>
      </c>
      <c r="D50" s="101" t="s">
        <v>290</v>
      </c>
      <c r="E50" s="102">
        <v>1664</v>
      </c>
      <c r="F50" s="102">
        <v>2069</v>
      </c>
      <c r="G50" s="103">
        <v>1710</v>
      </c>
    </row>
    <row r="51" spans="3:7" x14ac:dyDescent="0.3">
      <c r="C51" s="101" t="s">
        <v>268</v>
      </c>
      <c r="D51" s="101" t="s">
        <v>291</v>
      </c>
      <c r="E51" s="102">
        <v>624</v>
      </c>
      <c r="F51" s="102">
        <v>770</v>
      </c>
      <c r="G51" s="103">
        <v>746</v>
      </c>
    </row>
    <row r="52" spans="3:7" x14ac:dyDescent="0.3">
      <c r="C52" s="101" t="s">
        <v>268</v>
      </c>
      <c r="D52" s="101" t="s">
        <v>292</v>
      </c>
      <c r="E52" s="102">
        <v>685</v>
      </c>
      <c r="F52" s="102">
        <v>1501</v>
      </c>
      <c r="G52" s="103">
        <v>1126</v>
      </c>
    </row>
    <row r="53" spans="3:7" x14ac:dyDescent="0.3">
      <c r="C53" s="101" t="s">
        <v>268</v>
      </c>
      <c r="D53" s="101" t="s">
        <v>293</v>
      </c>
      <c r="E53" s="102">
        <v>1248</v>
      </c>
      <c r="F53" s="102">
        <v>1763</v>
      </c>
      <c r="G53" s="103">
        <v>1146</v>
      </c>
    </row>
    <row r="54" spans="3:7" x14ac:dyDescent="0.3">
      <c r="C54" s="101" t="s">
        <v>268</v>
      </c>
      <c r="D54" s="101" t="s">
        <v>294</v>
      </c>
      <c r="E54" s="102">
        <v>1342</v>
      </c>
      <c r="F54" s="102">
        <v>1559</v>
      </c>
      <c r="G54" s="103">
        <v>1307</v>
      </c>
    </row>
    <row r="55" spans="3:7" x14ac:dyDescent="0.3">
      <c r="C55" s="101" t="s">
        <v>268</v>
      </c>
      <c r="D55" s="101" t="s">
        <v>295</v>
      </c>
      <c r="E55" s="102">
        <v>760</v>
      </c>
      <c r="F55" s="102">
        <v>965</v>
      </c>
      <c r="G55" s="103">
        <v>921</v>
      </c>
    </row>
    <row r="56" spans="3:7" x14ac:dyDescent="0.3">
      <c r="C56" s="101" t="s">
        <v>268</v>
      </c>
      <c r="D56" s="101" t="s">
        <v>296</v>
      </c>
      <c r="E56" s="102">
        <v>1187</v>
      </c>
      <c r="F56" s="102">
        <v>1568</v>
      </c>
      <c r="G56" s="103">
        <v>1190</v>
      </c>
    </row>
    <row r="57" spans="3:7" x14ac:dyDescent="0.3">
      <c r="C57" s="101" t="s">
        <v>268</v>
      </c>
      <c r="D57" s="101" t="s">
        <v>297</v>
      </c>
      <c r="E57" s="102">
        <v>0</v>
      </c>
      <c r="F57" s="102">
        <v>0</v>
      </c>
      <c r="G57" s="103">
        <v>277</v>
      </c>
    </row>
    <row r="58" spans="3:7" x14ac:dyDescent="0.3">
      <c r="C58" s="101" t="s">
        <v>268</v>
      </c>
      <c r="D58" s="101" t="s">
        <v>298</v>
      </c>
      <c r="E58" s="102">
        <v>368</v>
      </c>
      <c r="F58" s="102">
        <v>1386</v>
      </c>
      <c r="G58" s="103">
        <v>637</v>
      </c>
    </row>
    <row r="59" spans="3:7" x14ac:dyDescent="0.3">
      <c r="C59" s="101" t="s">
        <v>268</v>
      </c>
      <c r="D59" s="101" t="s">
        <v>299</v>
      </c>
      <c r="E59" s="102">
        <v>317</v>
      </c>
      <c r="F59" s="102">
        <v>1215</v>
      </c>
      <c r="G59" s="103">
        <v>478</v>
      </c>
    </row>
    <row r="60" spans="3:7" x14ac:dyDescent="0.3">
      <c r="C60" s="101" t="s">
        <v>268</v>
      </c>
      <c r="D60" s="101" t="s">
        <v>300</v>
      </c>
      <c r="E60" s="102">
        <v>689</v>
      </c>
      <c r="F60" s="102">
        <v>2544</v>
      </c>
      <c r="G60" s="103">
        <v>1009</v>
      </c>
    </row>
    <row r="61" spans="3:7" x14ac:dyDescent="0.3">
      <c r="C61" s="101" t="s">
        <v>268</v>
      </c>
      <c r="D61" s="101" t="s">
        <v>301</v>
      </c>
      <c r="E61" s="102">
        <v>510</v>
      </c>
      <c r="F61" s="102">
        <v>2583</v>
      </c>
      <c r="G61" s="103">
        <v>861</v>
      </c>
    </row>
    <row r="62" spans="3:7" x14ac:dyDescent="0.3">
      <c r="C62" s="101" t="s">
        <v>268</v>
      </c>
      <c r="D62" s="101" t="s">
        <v>302</v>
      </c>
      <c r="E62" s="102">
        <v>257</v>
      </c>
      <c r="F62" s="102">
        <v>1023</v>
      </c>
      <c r="G62" s="103">
        <v>446</v>
      </c>
    </row>
    <row r="63" spans="3:7" x14ac:dyDescent="0.3">
      <c r="C63" s="101" t="s">
        <v>268</v>
      </c>
      <c r="D63" s="101" t="s">
        <v>303</v>
      </c>
      <c r="E63" s="102">
        <v>335</v>
      </c>
      <c r="F63" s="102">
        <v>1225</v>
      </c>
      <c r="G63" s="103">
        <v>520</v>
      </c>
    </row>
    <row r="64" spans="3:7" x14ac:dyDescent="0.3">
      <c r="C64" s="101" t="s">
        <v>268</v>
      </c>
      <c r="D64" s="101" t="s">
        <v>304</v>
      </c>
      <c r="E64" s="102">
        <v>264</v>
      </c>
      <c r="F64" s="102">
        <v>957</v>
      </c>
      <c r="G64" s="103">
        <v>405</v>
      </c>
    </row>
    <row r="65" spans="3:7" x14ac:dyDescent="0.3">
      <c r="C65" s="101" t="s">
        <v>268</v>
      </c>
      <c r="D65" s="101" t="s">
        <v>305</v>
      </c>
      <c r="E65" s="102">
        <v>285</v>
      </c>
      <c r="F65" s="102">
        <v>869</v>
      </c>
      <c r="G65" s="103">
        <v>434</v>
      </c>
    </row>
    <row r="66" spans="3:7" x14ac:dyDescent="0.3">
      <c r="C66" s="101" t="s">
        <v>268</v>
      </c>
      <c r="D66" s="101" t="s">
        <v>306</v>
      </c>
      <c r="E66" s="102">
        <v>550</v>
      </c>
      <c r="F66" s="102">
        <v>2502</v>
      </c>
      <c r="G66" s="103">
        <v>822</v>
      </c>
    </row>
    <row r="67" spans="3:7" x14ac:dyDescent="0.3">
      <c r="C67" s="101" t="s">
        <v>268</v>
      </c>
      <c r="D67" s="101" t="s">
        <v>307</v>
      </c>
      <c r="E67" s="102">
        <v>266</v>
      </c>
      <c r="F67" s="102">
        <v>1382</v>
      </c>
      <c r="G67" s="103">
        <v>501</v>
      </c>
    </row>
    <row r="68" spans="3:7" x14ac:dyDescent="0.3">
      <c r="C68" s="101" t="s">
        <v>268</v>
      </c>
      <c r="D68" s="101" t="s">
        <v>308</v>
      </c>
      <c r="E68" s="102">
        <v>598</v>
      </c>
      <c r="F68" s="102">
        <v>2107</v>
      </c>
      <c r="G68" s="103">
        <v>1002</v>
      </c>
    </row>
    <row r="69" spans="3:7" x14ac:dyDescent="0.3">
      <c r="C69" s="101" t="s">
        <v>268</v>
      </c>
      <c r="D69" s="101" t="s">
        <v>309</v>
      </c>
      <c r="E69" s="102">
        <v>344</v>
      </c>
      <c r="F69" s="102">
        <v>1641</v>
      </c>
      <c r="G69" s="103">
        <v>765</v>
      </c>
    </row>
    <row r="70" spans="3:7" x14ac:dyDescent="0.3">
      <c r="C70" s="101" t="s">
        <v>268</v>
      </c>
      <c r="D70" s="101" t="s">
        <v>310</v>
      </c>
      <c r="E70" s="102">
        <v>183</v>
      </c>
      <c r="F70" s="102">
        <v>867</v>
      </c>
      <c r="G70" s="103">
        <v>384</v>
      </c>
    </row>
    <row r="71" spans="3:7" x14ac:dyDescent="0.3">
      <c r="C71" s="101" t="s">
        <v>268</v>
      </c>
      <c r="D71" s="101" t="s">
        <v>311</v>
      </c>
      <c r="E71" s="102">
        <v>302</v>
      </c>
      <c r="F71" s="102">
        <v>1326</v>
      </c>
      <c r="G71" s="103">
        <v>586</v>
      </c>
    </row>
    <row r="72" spans="3:7" x14ac:dyDescent="0.3">
      <c r="C72" s="101" t="s">
        <v>268</v>
      </c>
      <c r="D72" s="101" t="s">
        <v>312</v>
      </c>
      <c r="E72" s="102">
        <v>177</v>
      </c>
      <c r="F72" s="102">
        <v>823</v>
      </c>
      <c r="G72" s="103">
        <v>548</v>
      </c>
    </row>
    <row r="73" spans="3:7" x14ac:dyDescent="0.3">
      <c r="C73" s="101" t="s">
        <v>268</v>
      </c>
      <c r="D73" s="101" t="s">
        <v>313</v>
      </c>
      <c r="E73" s="102">
        <v>285</v>
      </c>
      <c r="F73" s="102">
        <v>1249</v>
      </c>
      <c r="G73" s="103">
        <v>533</v>
      </c>
    </row>
    <row r="74" spans="3:7" x14ac:dyDescent="0.3">
      <c r="C74" s="101" t="s">
        <v>268</v>
      </c>
      <c r="D74" s="101" t="s">
        <v>314</v>
      </c>
      <c r="E74" s="102">
        <v>236</v>
      </c>
      <c r="F74" s="102">
        <v>1162</v>
      </c>
      <c r="G74" s="103">
        <v>402</v>
      </c>
    </row>
    <row r="75" spans="3:7" x14ac:dyDescent="0.3">
      <c r="C75" s="101" t="s">
        <v>268</v>
      </c>
      <c r="D75" s="101" t="s">
        <v>315</v>
      </c>
      <c r="E75" s="102">
        <v>293</v>
      </c>
      <c r="F75" s="102">
        <v>1016</v>
      </c>
      <c r="G75" s="103">
        <v>585</v>
      </c>
    </row>
    <row r="76" spans="3:7" x14ac:dyDescent="0.3">
      <c r="C76" s="101" t="s">
        <v>268</v>
      </c>
      <c r="D76" s="101" t="s">
        <v>316</v>
      </c>
      <c r="E76" s="102">
        <v>242</v>
      </c>
      <c r="F76" s="102">
        <v>1363</v>
      </c>
      <c r="G76" s="103">
        <v>428</v>
      </c>
    </row>
    <row r="77" spans="3:7" x14ac:dyDescent="0.3">
      <c r="C77" s="101" t="s">
        <v>268</v>
      </c>
      <c r="D77" s="101" t="s">
        <v>317</v>
      </c>
      <c r="E77" s="102">
        <v>248</v>
      </c>
      <c r="F77" s="102">
        <v>1398</v>
      </c>
      <c r="G77" s="103">
        <v>476</v>
      </c>
    </row>
    <row r="78" spans="3:7" x14ac:dyDescent="0.3">
      <c r="C78" s="101" t="s">
        <v>268</v>
      </c>
      <c r="D78" s="101" t="s">
        <v>318</v>
      </c>
      <c r="E78" s="102">
        <v>292</v>
      </c>
      <c r="F78" s="102">
        <v>1380</v>
      </c>
      <c r="G78" s="103">
        <v>456</v>
      </c>
    </row>
    <row r="79" spans="3:7" x14ac:dyDescent="0.3">
      <c r="C79" s="101" t="s">
        <v>268</v>
      </c>
      <c r="D79" s="101" t="s">
        <v>319</v>
      </c>
      <c r="E79" s="102">
        <v>196</v>
      </c>
      <c r="F79" s="102">
        <v>1238</v>
      </c>
      <c r="G79" s="103">
        <v>493</v>
      </c>
    </row>
    <row r="80" spans="3:7" x14ac:dyDescent="0.3">
      <c r="C80" s="101" t="s">
        <v>268</v>
      </c>
      <c r="D80" s="101" t="s">
        <v>320</v>
      </c>
      <c r="E80" s="102">
        <v>432</v>
      </c>
      <c r="F80" s="102">
        <v>1216</v>
      </c>
      <c r="G80" s="103">
        <v>552</v>
      </c>
    </row>
    <row r="81" spans="3:7" x14ac:dyDescent="0.3">
      <c r="C81" s="101" t="s">
        <v>268</v>
      </c>
      <c r="D81" s="101" t="s">
        <v>321</v>
      </c>
      <c r="E81" s="102">
        <v>420</v>
      </c>
      <c r="F81" s="102">
        <v>1581</v>
      </c>
      <c r="G81" s="103">
        <v>525</v>
      </c>
    </row>
    <row r="82" spans="3:7" x14ac:dyDescent="0.3">
      <c r="C82" s="101" t="s">
        <v>268</v>
      </c>
      <c r="D82" s="101" t="s">
        <v>322</v>
      </c>
      <c r="E82" s="102">
        <v>398</v>
      </c>
      <c r="F82" s="102">
        <v>1759</v>
      </c>
      <c r="G82" s="103">
        <v>682</v>
      </c>
    </row>
    <row r="83" spans="3:7" x14ac:dyDescent="0.3">
      <c r="C83" s="101" t="s">
        <v>268</v>
      </c>
      <c r="D83" s="101" t="s">
        <v>323</v>
      </c>
      <c r="E83" s="102">
        <v>128</v>
      </c>
      <c r="F83" s="102">
        <v>791</v>
      </c>
      <c r="G83" s="103">
        <v>242</v>
      </c>
    </row>
    <row r="84" spans="3:7" x14ac:dyDescent="0.3">
      <c r="C84" s="101" t="s">
        <v>268</v>
      </c>
      <c r="D84" s="101" t="s">
        <v>324</v>
      </c>
      <c r="E84" s="102">
        <v>225</v>
      </c>
      <c r="F84" s="102">
        <v>935</v>
      </c>
      <c r="G84" s="103">
        <v>432</v>
      </c>
    </row>
    <row r="85" spans="3:7" x14ac:dyDescent="0.3">
      <c r="C85" s="101" t="s">
        <v>268</v>
      </c>
      <c r="D85" s="101" t="s">
        <v>325</v>
      </c>
      <c r="E85" s="102">
        <v>1358</v>
      </c>
      <c r="F85" s="102">
        <v>2231</v>
      </c>
      <c r="G85" s="103">
        <v>1391</v>
      </c>
    </row>
    <row r="86" spans="3:7" x14ac:dyDescent="0.3">
      <c r="C86" s="101" t="s">
        <v>268</v>
      </c>
      <c r="D86" s="101" t="s">
        <v>326</v>
      </c>
      <c r="E86" s="102">
        <v>1345</v>
      </c>
      <c r="F86" s="102">
        <v>1791</v>
      </c>
      <c r="G86" s="103">
        <v>1460</v>
      </c>
    </row>
    <row r="87" spans="3:7" x14ac:dyDescent="0.3">
      <c r="C87" s="101" t="s">
        <v>268</v>
      </c>
      <c r="D87" s="101" t="s">
        <v>327</v>
      </c>
      <c r="E87" s="102">
        <v>769</v>
      </c>
      <c r="F87" s="102">
        <v>1948</v>
      </c>
      <c r="G87" s="103">
        <v>1011</v>
      </c>
    </row>
    <row r="88" spans="3:7" x14ac:dyDescent="0.3">
      <c r="C88" s="101" t="s">
        <v>268</v>
      </c>
      <c r="D88" s="101" t="s">
        <v>328</v>
      </c>
      <c r="E88" s="102">
        <v>560</v>
      </c>
      <c r="F88" s="102">
        <v>1835</v>
      </c>
      <c r="G88" s="103">
        <v>642</v>
      </c>
    </row>
    <row r="89" spans="3:7" x14ac:dyDescent="0.3">
      <c r="C89" s="101" t="s">
        <v>268</v>
      </c>
      <c r="D89" s="101" t="s">
        <v>329</v>
      </c>
      <c r="E89" s="102">
        <v>836</v>
      </c>
      <c r="F89" s="102">
        <v>2245</v>
      </c>
      <c r="G89" s="103">
        <v>861</v>
      </c>
    </row>
    <row r="90" spans="3:7" x14ac:dyDescent="0.3">
      <c r="C90" s="101" t="s">
        <v>268</v>
      </c>
      <c r="D90" s="101" t="s">
        <v>330</v>
      </c>
      <c r="E90" s="102">
        <v>587</v>
      </c>
      <c r="F90" s="102">
        <v>1471</v>
      </c>
      <c r="G90" s="103">
        <v>623</v>
      </c>
    </row>
    <row r="91" spans="3:7" x14ac:dyDescent="0.3">
      <c r="C91" s="101" t="s">
        <v>268</v>
      </c>
      <c r="D91" s="101" t="s">
        <v>331</v>
      </c>
      <c r="E91" s="102">
        <v>774</v>
      </c>
      <c r="F91" s="102">
        <v>1403</v>
      </c>
      <c r="G91" s="103">
        <v>1085</v>
      </c>
    </row>
    <row r="92" spans="3:7" x14ac:dyDescent="0.3">
      <c r="C92" s="101" t="s">
        <v>268</v>
      </c>
      <c r="D92" s="101" t="s">
        <v>332</v>
      </c>
      <c r="E92" s="102">
        <v>757</v>
      </c>
      <c r="F92" s="102">
        <v>1203</v>
      </c>
      <c r="G92" s="103">
        <v>1175</v>
      </c>
    </row>
    <row r="93" spans="3:7" x14ac:dyDescent="0.3">
      <c r="C93" s="101" t="s">
        <v>268</v>
      </c>
      <c r="D93" s="101" t="s">
        <v>333</v>
      </c>
      <c r="E93" s="102">
        <v>591</v>
      </c>
      <c r="F93" s="102">
        <v>1439</v>
      </c>
      <c r="G93" s="103">
        <v>858</v>
      </c>
    </row>
    <row r="94" spans="3:7" x14ac:dyDescent="0.3">
      <c r="C94" s="101" t="s">
        <v>268</v>
      </c>
      <c r="D94" s="101" t="s">
        <v>334</v>
      </c>
      <c r="E94" s="102">
        <v>457</v>
      </c>
      <c r="F94" s="102">
        <v>1161</v>
      </c>
      <c r="G94" s="103">
        <v>594</v>
      </c>
    </row>
    <row r="95" spans="3:7" x14ac:dyDescent="0.3">
      <c r="C95" s="101" t="s">
        <v>268</v>
      </c>
      <c r="D95" s="101" t="s">
        <v>335</v>
      </c>
      <c r="E95" s="102">
        <v>494</v>
      </c>
      <c r="F95" s="102">
        <v>1585</v>
      </c>
      <c r="G95" s="103">
        <v>705</v>
      </c>
    </row>
    <row r="96" spans="3:7" x14ac:dyDescent="0.3">
      <c r="C96" s="101" t="s">
        <v>268</v>
      </c>
      <c r="D96" s="101" t="s">
        <v>336</v>
      </c>
      <c r="E96" s="102">
        <v>914</v>
      </c>
      <c r="F96" s="102">
        <v>1727</v>
      </c>
      <c r="G96" s="103">
        <v>1308</v>
      </c>
    </row>
    <row r="97" spans="3:7" x14ac:dyDescent="0.3">
      <c r="C97" s="101" t="s">
        <v>268</v>
      </c>
      <c r="D97" s="101" t="s">
        <v>337</v>
      </c>
      <c r="E97" s="102">
        <v>581</v>
      </c>
      <c r="F97" s="102">
        <v>1448</v>
      </c>
      <c r="G97" s="103">
        <v>885</v>
      </c>
    </row>
    <row r="98" spans="3:7" x14ac:dyDescent="0.3">
      <c r="C98" s="101" t="s">
        <v>268</v>
      </c>
      <c r="D98" s="101" t="s">
        <v>338</v>
      </c>
      <c r="E98" s="102">
        <v>31</v>
      </c>
      <c r="F98" s="102">
        <v>0</v>
      </c>
      <c r="G98" s="103">
        <v>78</v>
      </c>
    </row>
    <row r="99" spans="3:7" x14ac:dyDescent="0.3">
      <c r="C99" s="101" t="s">
        <v>268</v>
      </c>
      <c r="D99" s="101" t="s">
        <v>339</v>
      </c>
      <c r="E99" s="102">
        <v>92</v>
      </c>
      <c r="F99" s="102">
        <v>233</v>
      </c>
      <c r="G99" s="103">
        <v>494</v>
      </c>
    </row>
    <row r="100" spans="3:7" x14ac:dyDescent="0.3">
      <c r="C100" s="101" t="s">
        <v>268</v>
      </c>
      <c r="D100" s="101" t="s">
        <v>340</v>
      </c>
      <c r="E100" s="102">
        <v>486</v>
      </c>
      <c r="F100" s="102">
        <v>1176</v>
      </c>
      <c r="G100" s="103">
        <v>400</v>
      </c>
    </row>
    <row r="101" spans="3:7" x14ac:dyDescent="0.3">
      <c r="C101" s="101" t="s">
        <v>268</v>
      </c>
      <c r="D101" s="101" t="s">
        <v>341</v>
      </c>
      <c r="E101" s="102">
        <v>440</v>
      </c>
      <c r="F101" s="102">
        <v>874</v>
      </c>
      <c r="G101" s="103">
        <v>803</v>
      </c>
    </row>
    <row r="102" spans="3:7" x14ac:dyDescent="0.3">
      <c r="C102" s="101" t="s">
        <v>268</v>
      </c>
      <c r="D102" s="101" t="s">
        <v>342</v>
      </c>
      <c r="E102" s="102">
        <v>127</v>
      </c>
      <c r="F102" s="102">
        <v>695</v>
      </c>
      <c r="G102" s="103">
        <v>440</v>
      </c>
    </row>
    <row r="103" spans="3:7" x14ac:dyDescent="0.3">
      <c r="C103" s="101" t="s">
        <v>268</v>
      </c>
      <c r="D103" s="101" t="s">
        <v>343</v>
      </c>
      <c r="E103" s="102">
        <v>257</v>
      </c>
      <c r="F103" s="102">
        <v>1367</v>
      </c>
      <c r="G103" s="103">
        <v>544</v>
      </c>
    </row>
    <row r="104" spans="3:7" x14ac:dyDescent="0.3">
      <c r="C104" s="101" t="s">
        <v>268</v>
      </c>
      <c r="D104" s="101" t="s">
        <v>344</v>
      </c>
      <c r="E104" s="102">
        <v>399</v>
      </c>
      <c r="F104" s="102">
        <v>1238</v>
      </c>
      <c r="G104" s="103">
        <v>622</v>
      </c>
    </row>
    <row r="105" spans="3:7" x14ac:dyDescent="0.3">
      <c r="C105" s="101" t="s">
        <v>268</v>
      </c>
      <c r="D105" s="101" t="s">
        <v>345</v>
      </c>
      <c r="E105" s="102">
        <v>470</v>
      </c>
      <c r="F105" s="102">
        <v>1609</v>
      </c>
      <c r="G105" s="103">
        <v>662</v>
      </c>
    </row>
    <row r="106" spans="3:7" x14ac:dyDescent="0.3">
      <c r="C106" s="101" t="s">
        <v>268</v>
      </c>
      <c r="D106" s="101" t="s">
        <v>346</v>
      </c>
      <c r="E106" s="102">
        <v>651</v>
      </c>
      <c r="F106" s="102">
        <v>2120</v>
      </c>
      <c r="G106" s="103">
        <v>824</v>
      </c>
    </row>
    <row r="107" spans="3:7" x14ac:dyDescent="0.3">
      <c r="C107" s="101" t="s">
        <v>268</v>
      </c>
      <c r="D107" s="101" t="s">
        <v>347</v>
      </c>
      <c r="E107" s="102">
        <v>757</v>
      </c>
      <c r="F107" s="102">
        <v>2498</v>
      </c>
      <c r="G107" s="103">
        <v>846</v>
      </c>
    </row>
    <row r="108" spans="3:7" x14ac:dyDescent="0.3">
      <c r="C108" s="101" t="s">
        <v>268</v>
      </c>
      <c r="D108" s="101" t="s">
        <v>348</v>
      </c>
      <c r="E108" s="102">
        <v>526</v>
      </c>
      <c r="F108" s="102">
        <v>1902</v>
      </c>
      <c r="G108" s="103">
        <v>743</v>
      </c>
    </row>
    <row r="109" spans="3:7" x14ac:dyDescent="0.3">
      <c r="C109" s="101" t="s">
        <v>268</v>
      </c>
      <c r="D109" s="101" t="s">
        <v>349</v>
      </c>
      <c r="E109" s="102">
        <v>196</v>
      </c>
      <c r="F109" s="102">
        <v>994</v>
      </c>
      <c r="G109" s="103">
        <v>477</v>
      </c>
    </row>
    <row r="110" spans="3:7" x14ac:dyDescent="0.3">
      <c r="C110" s="101" t="s">
        <v>268</v>
      </c>
      <c r="D110" s="101" t="s">
        <v>350</v>
      </c>
      <c r="E110" s="102">
        <v>260</v>
      </c>
      <c r="F110" s="102">
        <v>1010</v>
      </c>
      <c r="G110" s="103">
        <v>575</v>
      </c>
    </row>
    <row r="111" spans="3:7" x14ac:dyDescent="0.3">
      <c r="C111" s="101" t="s">
        <v>268</v>
      </c>
      <c r="D111" s="101" t="s">
        <v>351</v>
      </c>
      <c r="E111" s="102">
        <v>192</v>
      </c>
      <c r="F111" s="102">
        <v>899</v>
      </c>
      <c r="G111" s="103">
        <v>369</v>
      </c>
    </row>
    <row r="112" spans="3:7" x14ac:dyDescent="0.3">
      <c r="C112" s="101" t="s">
        <v>268</v>
      </c>
      <c r="D112" s="101" t="s">
        <v>352</v>
      </c>
      <c r="E112" s="102">
        <v>177</v>
      </c>
      <c r="F112" s="102">
        <v>284</v>
      </c>
      <c r="G112" s="103">
        <v>174</v>
      </c>
    </row>
    <row r="113" spans="3:7" x14ac:dyDescent="0.3">
      <c r="C113" s="101" t="s">
        <v>268</v>
      </c>
      <c r="D113" s="101" t="s">
        <v>353</v>
      </c>
      <c r="E113" s="102">
        <v>741</v>
      </c>
      <c r="F113" s="102">
        <v>1781</v>
      </c>
      <c r="G113" s="103">
        <v>1028</v>
      </c>
    </row>
    <row r="114" spans="3:7" x14ac:dyDescent="0.3">
      <c r="C114" s="101" t="s">
        <v>268</v>
      </c>
      <c r="D114" s="101" t="s">
        <v>354</v>
      </c>
      <c r="E114" s="102">
        <v>174</v>
      </c>
      <c r="F114" s="102">
        <v>773</v>
      </c>
      <c r="G114" s="103">
        <v>237</v>
      </c>
    </row>
    <row r="115" spans="3:7" x14ac:dyDescent="0.3">
      <c r="C115" s="101" t="s">
        <v>268</v>
      </c>
      <c r="D115" s="101" t="s">
        <v>355</v>
      </c>
      <c r="E115" s="102">
        <v>94</v>
      </c>
      <c r="F115" s="102">
        <v>769</v>
      </c>
      <c r="G115" s="103">
        <v>228</v>
      </c>
    </row>
    <row r="116" spans="3:7" x14ac:dyDescent="0.3">
      <c r="C116" s="101" t="s">
        <v>268</v>
      </c>
      <c r="D116" s="101" t="s">
        <v>356</v>
      </c>
      <c r="E116" s="102">
        <v>197</v>
      </c>
      <c r="F116" s="102">
        <v>837</v>
      </c>
      <c r="G116" s="103">
        <v>434</v>
      </c>
    </row>
    <row r="117" spans="3:7" x14ac:dyDescent="0.3">
      <c r="C117" s="101" t="s">
        <v>268</v>
      </c>
      <c r="D117" s="101" t="s">
        <v>357</v>
      </c>
      <c r="E117" s="102">
        <v>318</v>
      </c>
      <c r="F117" s="102">
        <v>1120</v>
      </c>
      <c r="G117" s="103">
        <v>444</v>
      </c>
    </row>
    <row r="118" spans="3:7" x14ac:dyDescent="0.3">
      <c r="C118" s="101" t="s">
        <v>268</v>
      </c>
      <c r="D118" s="101" t="s">
        <v>358</v>
      </c>
      <c r="E118" s="102">
        <v>82</v>
      </c>
      <c r="F118" s="102">
        <v>723</v>
      </c>
      <c r="G118" s="103">
        <v>204</v>
      </c>
    </row>
    <row r="119" spans="3:7" x14ac:dyDescent="0.3">
      <c r="C119" s="101" t="s">
        <v>268</v>
      </c>
      <c r="D119" s="101" t="s">
        <v>359</v>
      </c>
      <c r="E119" s="102">
        <v>206</v>
      </c>
      <c r="F119" s="102">
        <v>550</v>
      </c>
      <c r="G119" s="103">
        <v>229</v>
      </c>
    </row>
    <row r="120" spans="3:7" x14ac:dyDescent="0.3">
      <c r="C120" s="101" t="s">
        <v>268</v>
      </c>
      <c r="D120" s="101" t="s">
        <v>360</v>
      </c>
      <c r="E120" s="102">
        <v>390</v>
      </c>
      <c r="F120" s="102">
        <v>1297</v>
      </c>
      <c r="G120" s="103">
        <v>456</v>
      </c>
    </row>
    <row r="121" spans="3:7" x14ac:dyDescent="0.3">
      <c r="C121" s="101" t="s">
        <v>268</v>
      </c>
      <c r="D121" s="101" t="s">
        <v>361</v>
      </c>
      <c r="E121" s="102">
        <v>111</v>
      </c>
      <c r="F121" s="102">
        <v>1160</v>
      </c>
      <c r="G121" s="103">
        <v>282</v>
      </c>
    </row>
    <row r="122" spans="3:7" x14ac:dyDescent="0.3">
      <c r="C122" s="101" t="s">
        <v>268</v>
      </c>
      <c r="D122" s="101" t="s">
        <v>362</v>
      </c>
      <c r="E122" s="102">
        <v>522</v>
      </c>
      <c r="F122" s="102">
        <v>1667</v>
      </c>
      <c r="G122" s="103">
        <v>556</v>
      </c>
    </row>
    <row r="123" spans="3:7" x14ac:dyDescent="0.3">
      <c r="C123" s="101" t="s">
        <v>268</v>
      </c>
      <c r="D123" s="101" t="s">
        <v>363</v>
      </c>
      <c r="E123" s="102">
        <v>278</v>
      </c>
      <c r="F123" s="102">
        <v>1091</v>
      </c>
      <c r="G123" s="103">
        <v>505</v>
      </c>
    </row>
    <row r="124" spans="3:7" x14ac:dyDescent="0.3">
      <c r="C124" s="101" t="s">
        <v>268</v>
      </c>
      <c r="D124" s="101" t="s">
        <v>364</v>
      </c>
      <c r="E124" s="102">
        <v>0</v>
      </c>
      <c r="F124" s="102">
        <v>0</v>
      </c>
      <c r="G124" s="103">
        <v>0</v>
      </c>
    </row>
    <row r="125" spans="3:7" x14ac:dyDescent="0.3">
      <c r="C125" s="101" t="s">
        <v>268</v>
      </c>
      <c r="D125" s="101" t="s">
        <v>365</v>
      </c>
      <c r="E125" s="102">
        <v>120</v>
      </c>
      <c r="F125" s="102">
        <v>1335</v>
      </c>
      <c r="G125" s="103">
        <v>289</v>
      </c>
    </row>
    <row r="126" spans="3:7" x14ac:dyDescent="0.3">
      <c r="C126" s="101" t="s">
        <v>268</v>
      </c>
      <c r="D126" s="101" t="s">
        <v>366</v>
      </c>
      <c r="E126" s="102">
        <v>316</v>
      </c>
      <c r="F126" s="102">
        <v>1028</v>
      </c>
      <c r="G126" s="103">
        <v>505</v>
      </c>
    </row>
    <row r="127" spans="3:7" x14ac:dyDescent="0.3">
      <c r="C127" s="101" t="s">
        <v>268</v>
      </c>
      <c r="D127" s="101" t="s">
        <v>367</v>
      </c>
      <c r="E127" s="102">
        <v>446</v>
      </c>
      <c r="F127" s="102">
        <v>1763</v>
      </c>
      <c r="G127" s="103">
        <v>527</v>
      </c>
    </row>
    <row r="128" spans="3:7" x14ac:dyDescent="0.3">
      <c r="C128" s="101" t="s">
        <v>268</v>
      </c>
      <c r="D128" s="101" t="s">
        <v>368</v>
      </c>
      <c r="E128" s="102">
        <v>0</v>
      </c>
      <c r="F128" s="102">
        <v>0</v>
      </c>
      <c r="G128" s="103">
        <v>0</v>
      </c>
    </row>
    <row r="129" spans="3:7" x14ac:dyDescent="0.3">
      <c r="C129" s="101" t="s">
        <v>268</v>
      </c>
      <c r="D129" s="101" t="s">
        <v>369</v>
      </c>
      <c r="E129" s="102">
        <v>254</v>
      </c>
      <c r="F129" s="102">
        <v>642</v>
      </c>
      <c r="G129" s="103">
        <v>308</v>
      </c>
    </row>
    <row r="130" spans="3:7" x14ac:dyDescent="0.3">
      <c r="C130" s="101" t="s">
        <v>268</v>
      </c>
      <c r="D130" s="101" t="s">
        <v>370</v>
      </c>
      <c r="E130" s="102">
        <v>157</v>
      </c>
      <c r="F130" s="102">
        <v>440</v>
      </c>
      <c r="G130" s="103">
        <v>436</v>
      </c>
    </row>
    <row r="131" spans="3:7" x14ac:dyDescent="0.3">
      <c r="C131" s="101" t="s">
        <v>268</v>
      </c>
      <c r="D131" s="101" t="s">
        <v>371</v>
      </c>
      <c r="E131" s="102">
        <v>788</v>
      </c>
      <c r="F131" s="102">
        <v>988</v>
      </c>
      <c r="G131" s="103">
        <v>673</v>
      </c>
    </row>
    <row r="132" spans="3:7" x14ac:dyDescent="0.3">
      <c r="C132" s="101" t="s">
        <v>268</v>
      </c>
      <c r="D132" s="101" t="s">
        <v>372</v>
      </c>
      <c r="E132" s="102">
        <v>398</v>
      </c>
      <c r="F132" s="102">
        <v>454</v>
      </c>
      <c r="G132" s="103">
        <v>333</v>
      </c>
    </row>
    <row r="133" spans="3:7" x14ac:dyDescent="0.3">
      <c r="C133" s="101" t="s">
        <v>268</v>
      </c>
      <c r="D133" s="101" t="s">
        <v>373</v>
      </c>
      <c r="E133" s="102">
        <v>796</v>
      </c>
      <c r="F133" s="102">
        <v>912</v>
      </c>
      <c r="G133" s="103">
        <v>687</v>
      </c>
    </row>
    <row r="134" spans="3:7" x14ac:dyDescent="0.3">
      <c r="C134" s="101" t="s">
        <v>268</v>
      </c>
      <c r="D134" s="101" t="s">
        <v>374</v>
      </c>
      <c r="E134" s="102">
        <v>633</v>
      </c>
      <c r="F134" s="102">
        <v>1349</v>
      </c>
      <c r="G134" s="103">
        <v>564</v>
      </c>
    </row>
    <row r="135" spans="3:7" x14ac:dyDescent="0.3">
      <c r="C135" s="101" t="s">
        <v>268</v>
      </c>
      <c r="D135" s="101" t="s">
        <v>375</v>
      </c>
      <c r="E135" s="102">
        <v>1018</v>
      </c>
      <c r="F135" s="102">
        <v>1622</v>
      </c>
      <c r="G135" s="103">
        <v>826</v>
      </c>
    </row>
    <row r="136" spans="3:7" x14ac:dyDescent="0.3">
      <c r="C136" s="101" t="s">
        <v>268</v>
      </c>
      <c r="D136" s="101" t="s">
        <v>376</v>
      </c>
      <c r="E136" s="102">
        <v>356</v>
      </c>
      <c r="F136" s="102">
        <v>429</v>
      </c>
      <c r="G136" s="103">
        <v>621</v>
      </c>
    </row>
    <row r="137" spans="3:7" x14ac:dyDescent="0.3">
      <c r="C137" s="101" t="s">
        <v>268</v>
      </c>
      <c r="D137" s="101" t="s">
        <v>377</v>
      </c>
      <c r="E137" s="102">
        <v>1173</v>
      </c>
      <c r="F137" s="102">
        <v>1342</v>
      </c>
      <c r="G137" s="103">
        <v>605</v>
      </c>
    </row>
    <row r="138" spans="3:7" x14ac:dyDescent="0.3">
      <c r="C138" s="101" t="s">
        <v>268</v>
      </c>
      <c r="D138" s="101" t="s">
        <v>378</v>
      </c>
      <c r="E138" s="102">
        <v>729</v>
      </c>
      <c r="F138" s="102">
        <v>1085</v>
      </c>
      <c r="G138" s="103">
        <v>838</v>
      </c>
    </row>
    <row r="139" spans="3:7" x14ac:dyDescent="0.3">
      <c r="C139" s="101" t="s">
        <v>268</v>
      </c>
      <c r="D139" s="101" t="s">
        <v>379</v>
      </c>
      <c r="E139" s="102">
        <v>935</v>
      </c>
      <c r="F139" s="102">
        <v>1436</v>
      </c>
      <c r="G139" s="103">
        <v>1237</v>
      </c>
    </row>
    <row r="140" spans="3:7" x14ac:dyDescent="0.3">
      <c r="C140" s="101" t="s">
        <v>268</v>
      </c>
      <c r="D140" s="101" t="s">
        <v>380</v>
      </c>
      <c r="E140" s="102">
        <v>930</v>
      </c>
      <c r="F140" s="102">
        <v>1328</v>
      </c>
      <c r="G140" s="103">
        <v>1024</v>
      </c>
    </row>
    <row r="141" spans="3:7" x14ac:dyDescent="0.3">
      <c r="C141" s="101" t="s">
        <v>268</v>
      </c>
      <c r="D141" s="101" t="s">
        <v>381</v>
      </c>
      <c r="E141" s="102">
        <v>1207</v>
      </c>
      <c r="F141" s="102">
        <v>1863</v>
      </c>
      <c r="G141" s="103">
        <v>1375</v>
      </c>
    </row>
    <row r="142" spans="3:7" x14ac:dyDescent="0.3">
      <c r="C142" s="101" t="s">
        <v>268</v>
      </c>
      <c r="D142" s="101" t="s">
        <v>382</v>
      </c>
      <c r="E142" s="102">
        <v>1089</v>
      </c>
      <c r="F142" s="102">
        <v>1554</v>
      </c>
      <c r="G142" s="103">
        <v>945</v>
      </c>
    </row>
    <row r="143" spans="3:7" x14ac:dyDescent="0.3">
      <c r="C143" s="101" t="s">
        <v>268</v>
      </c>
      <c r="D143" s="101" t="s">
        <v>383</v>
      </c>
      <c r="E143" s="102">
        <v>1179</v>
      </c>
      <c r="F143" s="102">
        <v>1541</v>
      </c>
      <c r="G143" s="103">
        <v>1136</v>
      </c>
    </row>
    <row r="144" spans="3:7" x14ac:dyDescent="0.3">
      <c r="C144" s="101" t="s">
        <v>268</v>
      </c>
      <c r="D144" s="101" t="s">
        <v>384</v>
      </c>
      <c r="E144" s="102">
        <v>646</v>
      </c>
      <c r="F144" s="102">
        <v>1144</v>
      </c>
      <c r="G144" s="103">
        <v>1027</v>
      </c>
    </row>
    <row r="145" spans="3:7" x14ac:dyDescent="0.3">
      <c r="C145" s="101" t="s">
        <v>268</v>
      </c>
      <c r="D145" s="101" t="s">
        <v>385</v>
      </c>
      <c r="E145" s="102">
        <v>689</v>
      </c>
      <c r="F145" s="102">
        <v>1352</v>
      </c>
      <c r="G145" s="103">
        <v>777</v>
      </c>
    </row>
    <row r="146" spans="3:7" x14ac:dyDescent="0.3">
      <c r="C146" s="101" t="s">
        <v>268</v>
      </c>
      <c r="D146" s="101" t="s">
        <v>386</v>
      </c>
      <c r="E146" s="102">
        <v>92</v>
      </c>
      <c r="F146" s="102">
        <v>1393</v>
      </c>
      <c r="G146" s="103">
        <v>295</v>
      </c>
    </row>
    <row r="147" spans="3:7" x14ac:dyDescent="0.3">
      <c r="C147" s="101" t="s">
        <v>268</v>
      </c>
      <c r="D147" s="101" t="s">
        <v>387</v>
      </c>
      <c r="E147" s="102">
        <v>361</v>
      </c>
      <c r="F147" s="102">
        <v>4109</v>
      </c>
      <c r="G147" s="103">
        <v>761</v>
      </c>
    </row>
    <row r="148" spans="3:7" x14ac:dyDescent="0.3">
      <c r="C148" s="101" t="s">
        <v>268</v>
      </c>
      <c r="D148" s="101" t="s">
        <v>388</v>
      </c>
      <c r="E148" s="102">
        <v>148</v>
      </c>
      <c r="F148" s="102">
        <v>1510</v>
      </c>
      <c r="G148" s="103">
        <v>300</v>
      </c>
    </row>
    <row r="149" spans="3:7" x14ac:dyDescent="0.3">
      <c r="C149" s="101" t="s">
        <v>268</v>
      </c>
      <c r="D149" s="101" t="s">
        <v>389</v>
      </c>
      <c r="E149" s="102">
        <v>367</v>
      </c>
      <c r="F149" s="102">
        <v>1942</v>
      </c>
      <c r="G149" s="103">
        <v>817</v>
      </c>
    </row>
    <row r="150" spans="3:7" x14ac:dyDescent="0.3">
      <c r="C150" s="101" t="s">
        <v>268</v>
      </c>
      <c r="D150" s="101" t="s">
        <v>390</v>
      </c>
      <c r="E150" s="102">
        <v>96</v>
      </c>
      <c r="F150" s="102">
        <v>249</v>
      </c>
      <c r="G150" s="103">
        <v>191</v>
      </c>
    </row>
    <row r="151" spans="3:7" x14ac:dyDescent="0.3">
      <c r="C151" s="101" t="s">
        <v>268</v>
      </c>
      <c r="D151" s="101" t="s">
        <v>391</v>
      </c>
      <c r="E151" s="102">
        <v>104</v>
      </c>
      <c r="F151" s="102">
        <v>281</v>
      </c>
      <c r="G151" s="103">
        <v>241</v>
      </c>
    </row>
    <row r="152" spans="3:7" x14ac:dyDescent="0.3">
      <c r="C152" s="101" t="s">
        <v>268</v>
      </c>
      <c r="D152" s="101" t="s">
        <v>392</v>
      </c>
      <c r="E152" s="102">
        <v>152</v>
      </c>
      <c r="F152" s="102">
        <v>225</v>
      </c>
      <c r="G152" s="103">
        <v>215</v>
      </c>
    </row>
    <row r="153" spans="3:7" x14ac:dyDescent="0.3">
      <c r="C153" s="101" t="s">
        <v>268</v>
      </c>
      <c r="D153" s="101" t="s">
        <v>393</v>
      </c>
      <c r="E153" s="102">
        <v>661</v>
      </c>
      <c r="F153" s="102">
        <v>1509</v>
      </c>
      <c r="G153" s="103">
        <v>818</v>
      </c>
    </row>
    <row r="154" spans="3:7" x14ac:dyDescent="0.3">
      <c r="C154" s="101" t="s">
        <v>268</v>
      </c>
      <c r="D154" s="101" t="s">
        <v>394</v>
      </c>
      <c r="E154" s="102">
        <v>417</v>
      </c>
      <c r="F154" s="102">
        <v>591</v>
      </c>
      <c r="G154" s="103">
        <v>414</v>
      </c>
    </row>
    <row r="155" spans="3:7" x14ac:dyDescent="0.3">
      <c r="C155" s="101" t="s">
        <v>268</v>
      </c>
      <c r="D155" s="101" t="s">
        <v>395</v>
      </c>
      <c r="E155" s="102">
        <v>588</v>
      </c>
      <c r="F155" s="102">
        <v>1036</v>
      </c>
      <c r="G155" s="103">
        <v>725</v>
      </c>
    </row>
    <row r="156" spans="3:7" x14ac:dyDescent="0.3">
      <c r="C156" s="101" t="s">
        <v>268</v>
      </c>
      <c r="D156" s="101" t="s">
        <v>396</v>
      </c>
      <c r="E156" s="102">
        <v>99</v>
      </c>
      <c r="F156" s="102">
        <v>566</v>
      </c>
      <c r="G156" s="103">
        <v>200</v>
      </c>
    </row>
    <row r="157" spans="3:7" x14ac:dyDescent="0.3">
      <c r="C157" s="101" t="s">
        <v>268</v>
      </c>
      <c r="D157" s="101" t="s">
        <v>397</v>
      </c>
      <c r="E157" s="102">
        <v>1113</v>
      </c>
      <c r="F157" s="102">
        <v>1539</v>
      </c>
      <c r="G157" s="103">
        <v>1209</v>
      </c>
    </row>
    <row r="158" spans="3:7" x14ac:dyDescent="0.3">
      <c r="C158" s="101" t="s">
        <v>268</v>
      </c>
      <c r="D158" s="101" t="s">
        <v>398</v>
      </c>
      <c r="E158" s="102">
        <v>1462</v>
      </c>
      <c r="F158" s="102">
        <v>1993</v>
      </c>
      <c r="G158" s="103">
        <v>1444</v>
      </c>
    </row>
    <row r="159" spans="3:7" x14ac:dyDescent="0.3">
      <c r="C159" s="101" t="s">
        <v>268</v>
      </c>
      <c r="D159" s="101" t="s">
        <v>399</v>
      </c>
      <c r="E159" s="102">
        <v>1094</v>
      </c>
      <c r="F159" s="102">
        <v>1924</v>
      </c>
      <c r="G159" s="103">
        <v>1466</v>
      </c>
    </row>
    <row r="160" spans="3:7" x14ac:dyDescent="0.3">
      <c r="C160" s="101" t="s">
        <v>268</v>
      </c>
      <c r="D160" s="101" t="s">
        <v>400</v>
      </c>
      <c r="E160" s="102">
        <v>924</v>
      </c>
      <c r="F160" s="102">
        <v>1799</v>
      </c>
      <c r="G160" s="103">
        <v>1269</v>
      </c>
    </row>
    <row r="161" spans="3:7" x14ac:dyDescent="0.3">
      <c r="C161" s="101" t="s">
        <v>268</v>
      </c>
      <c r="D161" s="101" t="s">
        <v>401</v>
      </c>
      <c r="E161" s="102">
        <v>0</v>
      </c>
      <c r="F161" s="102">
        <v>0</v>
      </c>
      <c r="G161" s="103">
        <v>0</v>
      </c>
    </row>
    <row r="162" spans="3:7" x14ac:dyDescent="0.3">
      <c r="C162" s="101" t="s">
        <v>268</v>
      </c>
      <c r="D162" s="101" t="s">
        <v>402</v>
      </c>
      <c r="E162" s="102">
        <v>296</v>
      </c>
      <c r="F162" s="102">
        <v>443</v>
      </c>
      <c r="G162" s="103">
        <v>157</v>
      </c>
    </row>
    <row r="163" spans="3:7" x14ac:dyDescent="0.3">
      <c r="C163" s="101" t="s">
        <v>268</v>
      </c>
      <c r="D163" s="101" t="s">
        <v>403</v>
      </c>
      <c r="E163" s="102">
        <v>858</v>
      </c>
      <c r="F163" s="102">
        <v>1562</v>
      </c>
      <c r="G163" s="103">
        <v>832</v>
      </c>
    </row>
    <row r="164" spans="3:7" x14ac:dyDescent="0.3">
      <c r="C164" s="101" t="s">
        <v>268</v>
      </c>
      <c r="D164" s="101" t="s">
        <v>404</v>
      </c>
      <c r="E164" s="102">
        <v>487</v>
      </c>
      <c r="F164" s="102">
        <v>821</v>
      </c>
      <c r="G164" s="103">
        <v>556</v>
      </c>
    </row>
    <row r="165" spans="3:7" x14ac:dyDescent="0.3">
      <c r="C165" s="101" t="s">
        <v>268</v>
      </c>
      <c r="D165" s="101" t="s">
        <v>405</v>
      </c>
      <c r="E165" s="102">
        <v>985</v>
      </c>
      <c r="F165" s="102">
        <v>2100</v>
      </c>
      <c r="G165" s="103">
        <v>1402</v>
      </c>
    </row>
    <row r="166" spans="3:7" x14ac:dyDescent="0.3">
      <c r="C166" s="101" t="s">
        <v>268</v>
      </c>
      <c r="D166" s="101" t="s">
        <v>406</v>
      </c>
      <c r="E166" s="102">
        <v>430</v>
      </c>
      <c r="F166" s="102">
        <v>976</v>
      </c>
      <c r="G166" s="103">
        <v>616</v>
      </c>
    </row>
    <row r="167" spans="3:7" x14ac:dyDescent="0.3">
      <c r="C167" s="101" t="s">
        <v>268</v>
      </c>
      <c r="D167" s="101" t="s">
        <v>407</v>
      </c>
      <c r="E167" s="102">
        <v>11</v>
      </c>
      <c r="F167" s="102">
        <v>4</v>
      </c>
      <c r="G167" s="103">
        <v>351</v>
      </c>
    </row>
    <row r="168" spans="3:7" x14ac:dyDescent="0.3">
      <c r="C168" s="101" t="s">
        <v>268</v>
      </c>
      <c r="D168" s="101" t="s">
        <v>408</v>
      </c>
      <c r="E168" s="102">
        <v>370</v>
      </c>
      <c r="F168" s="102">
        <v>480</v>
      </c>
      <c r="G168" s="103">
        <v>398</v>
      </c>
    </row>
    <row r="169" spans="3:7" x14ac:dyDescent="0.3">
      <c r="C169" s="101" t="s">
        <v>268</v>
      </c>
      <c r="D169" s="101" t="s">
        <v>409</v>
      </c>
      <c r="E169" s="102">
        <v>778</v>
      </c>
      <c r="F169" s="102">
        <v>1343</v>
      </c>
      <c r="G169" s="103">
        <v>1071</v>
      </c>
    </row>
    <row r="170" spans="3:7" x14ac:dyDescent="0.3">
      <c r="C170" s="101" t="s">
        <v>268</v>
      </c>
      <c r="D170" s="101" t="s">
        <v>410</v>
      </c>
      <c r="E170" s="102">
        <v>783</v>
      </c>
      <c r="F170" s="102">
        <v>1429</v>
      </c>
      <c r="G170" s="103">
        <v>1018</v>
      </c>
    </row>
    <row r="171" spans="3:7" x14ac:dyDescent="0.3">
      <c r="C171" s="101" t="s">
        <v>268</v>
      </c>
      <c r="D171" s="101" t="s">
        <v>411</v>
      </c>
      <c r="E171" s="102">
        <v>1376</v>
      </c>
      <c r="F171" s="102">
        <v>2314</v>
      </c>
      <c r="G171" s="103">
        <v>1440</v>
      </c>
    </row>
    <row r="172" spans="3:7" x14ac:dyDescent="0.3">
      <c r="C172" s="101" t="s">
        <v>268</v>
      </c>
      <c r="D172" s="101" t="s">
        <v>412</v>
      </c>
      <c r="E172" s="102">
        <v>717</v>
      </c>
      <c r="F172" s="102">
        <v>1732</v>
      </c>
      <c r="G172" s="103">
        <v>1623</v>
      </c>
    </row>
    <row r="173" spans="3:7" x14ac:dyDescent="0.3">
      <c r="C173" s="101" t="s">
        <v>268</v>
      </c>
      <c r="D173" s="101" t="s">
        <v>413</v>
      </c>
      <c r="E173" s="102">
        <v>301</v>
      </c>
      <c r="F173" s="102">
        <v>720</v>
      </c>
      <c r="G173" s="103">
        <v>629</v>
      </c>
    </row>
    <row r="174" spans="3:7" x14ac:dyDescent="0.3">
      <c r="C174" s="101" t="s">
        <v>268</v>
      </c>
      <c r="D174" s="101" t="s">
        <v>414</v>
      </c>
      <c r="E174" s="102">
        <v>179</v>
      </c>
      <c r="F174" s="102">
        <v>303</v>
      </c>
      <c r="G174" s="103">
        <v>258</v>
      </c>
    </row>
    <row r="175" spans="3:7" x14ac:dyDescent="0.3">
      <c r="C175" s="101" t="s">
        <v>268</v>
      </c>
      <c r="D175" s="101" t="s">
        <v>415</v>
      </c>
      <c r="E175" s="102">
        <v>919</v>
      </c>
      <c r="F175" s="102">
        <v>1445</v>
      </c>
      <c r="G175" s="103">
        <v>1250</v>
      </c>
    </row>
    <row r="176" spans="3:7" x14ac:dyDescent="0.3">
      <c r="C176" s="101" t="s">
        <v>268</v>
      </c>
      <c r="D176" s="101" t="s">
        <v>416</v>
      </c>
      <c r="E176" s="102">
        <v>396</v>
      </c>
      <c r="F176" s="102">
        <v>704</v>
      </c>
      <c r="G176" s="103">
        <v>712</v>
      </c>
    </row>
    <row r="177" spans="3:7" x14ac:dyDescent="0.3">
      <c r="C177" s="101" t="s">
        <v>268</v>
      </c>
      <c r="D177" s="101" t="s">
        <v>417</v>
      </c>
      <c r="E177" s="102">
        <v>387</v>
      </c>
      <c r="F177" s="102">
        <v>735</v>
      </c>
      <c r="G177" s="103">
        <v>677</v>
      </c>
    </row>
    <row r="178" spans="3:7" x14ac:dyDescent="0.3">
      <c r="C178" s="101" t="s">
        <v>268</v>
      </c>
      <c r="D178" s="101" t="s">
        <v>418</v>
      </c>
      <c r="E178" s="102">
        <v>869</v>
      </c>
      <c r="F178" s="102">
        <v>1267</v>
      </c>
      <c r="G178" s="103">
        <v>801</v>
      </c>
    </row>
    <row r="179" spans="3:7" x14ac:dyDescent="0.3">
      <c r="C179" s="101" t="s">
        <v>268</v>
      </c>
      <c r="D179" s="101" t="s">
        <v>419</v>
      </c>
      <c r="E179" s="102">
        <v>1500</v>
      </c>
      <c r="F179" s="102">
        <v>2104</v>
      </c>
      <c r="G179" s="103">
        <v>1570</v>
      </c>
    </row>
    <row r="180" spans="3:7" x14ac:dyDescent="0.3">
      <c r="C180" s="101" t="s">
        <v>268</v>
      </c>
      <c r="D180" s="101" t="s">
        <v>420</v>
      </c>
      <c r="E180" s="102">
        <v>1064</v>
      </c>
      <c r="F180" s="102">
        <v>1509</v>
      </c>
      <c r="G180" s="103">
        <v>1126</v>
      </c>
    </row>
    <row r="181" spans="3:7" x14ac:dyDescent="0.3">
      <c r="C181" s="101" t="s">
        <v>268</v>
      </c>
      <c r="D181" s="101" t="s">
        <v>421</v>
      </c>
      <c r="E181" s="102">
        <v>1272</v>
      </c>
      <c r="F181" s="102">
        <v>2058</v>
      </c>
      <c r="G181" s="103">
        <v>1702</v>
      </c>
    </row>
    <row r="182" spans="3:7" x14ac:dyDescent="0.3">
      <c r="C182" s="101" t="s">
        <v>268</v>
      </c>
      <c r="D182" s="101" t="s">
        <v>422</v>
      </c>
      <c r="E182" s="102">
        <v>916</v>
      </c>
      <c r="F182" s="102">
        <v>1326</v>
      </c>
      <c r="G182" s="103">
        <v>840</v>
      </c>
    </row>
    <row r="183" spans="3:7" x14ac:dyDescent="0.3">
      <c r="C183" s="101" t="s">
        <v>268</v>
      </c>
      <c r="D183" s="101" t="s">
        <v>423</v>
      </c>
      <c r="E183" s="102">
        <v>877</v>
      </c>
      <c r="F183" s="102">
        <v>1498</v>
      </c>
      <c r="G183" s="103">
        <v>1274</v>
      </c>
    </row>
    <row r="184" spans="3:7" x14ac:dyDescent="0.3">
      <c r="C184" s="101" t="s">
        <v>268</v>
      </c>
      <c r="D184" s="101" t="s">
        <v>424</v>
      </c>
      <c r="E184" s="102">
        <v>716</v>
      </c>
      <c r="F184" s="102">
        <v>1119</v>
      </c>
      <c r="G184" s="103">
        <v>837</v>
      </c>
    </row>
    <row r="185" spans="3:7" x14ac:dyDescent="0.3">
      <c r="C185" s="101" t="s">
        <v>268</v>
      </c>
      <c r="D185" s="101" t="s">
        <v>425</v>
      </c>
      <c r="E185" s="102">
        <v>772</v>
      </c>
      <c r="F185" s="102">
        <v>1410</v>
      </c>
      <c r="G185" s="103">
        <v>1199</v>
      </c>
    </row>
    <row r="186" spans="3:7" x14ac:dyDescent="0.3">
      <c r="C186" s="101" t="s">
        <v>268</v>
      </c>
      <c r="D186" s="101" t="s">
        <v>426</v>
      </c>
      <c r="E186" s="102">
        <v>1190</v>
      </c>
      <c r="F186" s="102">
        <v>1969</v>
      </c>
      <c r="G186" s="103">
        <v>1597</v>
      </c>
    </row>
  </sheetData>
  <mergeCells count="1">
    <mergeCell ref="E27:G27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CC031-6B30-4424-8DB1-2DE0A6934520}">
  <dimension ref="A2:H24"/>
  <sheetViews>
    <sheetView workbookViewId="0">
      <selection activeCell="A4" sqref="A4:XFD9"/>
    </sheetView>
  </sheetViews>
  <sheetFormatPr defaultRowHeight="14.4" x14ac:dyDescent="0.3"/>
  <sheetData>
    <row r="2" spans="2:5" ht="21" x14ac:dyDescent="0.4">
      <c r="B2" s="168" t="s">
        <v>672</v>
      </c>
    </row>
    <row r="4" spans="2:5" x14ac:dyDescent="0.3">
      <c r="B4" s="82" t="s">
        <v>427</v>
      </c>
      <c r="C4" s="82" t="s">
        <v>428</v>
      </c>
      <c r="D4" s="82" t="s">
        <v>429</v>
      </c>
      <c r="E4" s="82" t="s">
        <v>430</v>
      </c>
    </row>
    <row r="5" spans="2:5" x14ac:dyDescent="0.3">
      <c r="B5" s="73">
        <v>1</v>
      </c>
      <c r="C5" s="104">
        <v>8000</v>
      </c>
      <c r="D5" s="73" t="s">
        <v>431</v>
      </c>
      <c r="E5" s="73">
        <v>10</v>
      </c>
    </row>
    <row r="6" spans="2:5" x14ac:dyDescent="0.3">
      <c r="B6" s="73">
        <v>2</v>
      </c>
      <c r="C6" s="104">
        <v>11000</v>
      </c>
      <c r="D6" s="73" t="s">
        <v>431</v>
      </c>
      <c r="E6" s="73">
        <v>9</v>
      </c>
    </row>
    <row r="7" spans="2:5" x14ac:dyDescent="0.3">
      <c r="B7" s="73">
        <v>3</v>
      </c>
      <c r="C7" s="104">
        <v>6000</v>
      </c>
      <c r="D7" s="73" t="s">
        <v>432</v>
      </c>
      <c r="E7" s="73">
        <v>5</v>
      </c>
    </row>
    <row r="8" spans="2:5" x14ac:dyDescent="0.3">
      <c r="B8" s="73">
        <v>4</v>
      </c>
      <c r="C8" s="104">
        <v>15000</v>
      </c>
      <c r="D8" s="73" t="s">
        <v>431</v>
      </c>
      <c r="E8" s="73">
        <v>10</v>
      </c>
    </row>
    <row r="9" spans="2:5" x14ac:dyDescent="0.3">
      <c r="B9" s="73">
        <v>5</v>
      </c>
      <c r="C9" s="104">
        <v>10000</v>
      </c>
      <c r="D9" s="73" t="s">
        <v>432</v>
      </c>
      <c r="E9" s="73">
        <v>2</v>
      </c>
    </row>
    <row r="10" spans="2:5" x14ac:dyDescent="0.3">
      <c r="B10" s="73">
        <v>6</v>
      </c>
      <c r="C10" s="104">
        <v>15000</v>
      </c>
      <c r="D10" s="73" t="s">
        <v>431</v>
      </c>
      <c r="E10" s="73">
        <v>5</v>
      </c>
    </row>
    <row r="11" spans="2:5" x14ac:dyDescent="0.3">
      <c r="B11" s="73">
        <v>7</v>
      </c>
      <c r="C11" s="104">
        <v>13000</v>
      </c>
      <c r="D11" s="73" t="s">
        <v>431</v>
      </c>
      <c r="E11" s="73">
        <v>999</v>
      </c>
    </row>
    <row r="12" spans="2:5" x14ac:dyDescent="0.3">
      <c r="B12" s="73">
        <v>8</v>
      </c>
      <c r="C12" s="104">
        <v>8000</v>
      </c>
      <c r="D12" s="73" t="s">
        <v>431</v>
      </c>
      <c r="E12" s="73">
        <v>2</v>
      </c>
    </row>
    <row r="13" spans="2:5" x14ac:dyDescent="0.3">
      <c r="B13" s="73">
        <v>9</v>
      </c>
      <c r="C13" s="104">
        <v>11000</v>
      </c>
      <c r="D13" s="73" t="s">
        <v>432</v>
      </c>
      <c r="E13" s="73">
        <v>5</v>
      </c>
    </row>
    <row r="14" spans="2:5" x14ac:dyDescent="0.3">
      <c r="B14" s="73">
        <v>10</v>
      </c>
      <c r="C14" s="104">
        <v>9000</v>
      </c>
      <c r="D14" s="73" t="s">
        <v>431</v>
      </c>
      <c r="E14" s="73">
        <v>6</v>
      </c>
    </row>
    <row r="17" spans="1:8" ht="15" thickBot="1" x14ac:dyDescent="0.35">
      <c r="B17" s="105" t="s">
        <v>433</v>
      </c>
    </row>
    <row r="18" spans="1:8" ht="15" thickBot="1" x14ac:dyDescent="0.35">
      <c r="A18">
        <v>1</v>
      </c>
      <c r="B18" t="s">
        <v>434</v>
      </c>
      <c r="H18" s="106">
        <f>SUMIF(D5:D14,D6,C5:C14)</f>
        <v>79000</v>
      </c>
    </row>
    <row r="19" spans="1:8" ht="15" thickBot="1" x14ac:dyDescent="0.35">
      <c r="A19">
        <v>2</v>
      </c>
      <c r="B19" t="s">
        <v>435</v>
      </c>
      <c r="H19" s="106">
        <f>SUMIF(D5:D14,D13,C5:C14)</f>
        <v>27000</v>
      </c>
    </row>
    <row r="20" spans="1:8" ht="15" thickBot="1" x14ac:dyDescent="0.35"/>
    <row r="21" spans="1:8" ht="15" thickBot="1" x14ac:dyDescent="0.35">
      <c r="A21">
        <v>3</v>
      </c>
      <c r="B21" t="s">
        <v>436</v>
      </c>
      <c r="H21" s="106">
        <f>SUMIF(C5:C14,"&gt;10000",C5:C14)</f>
        <v>65000</v>
      </c>
    </row>
    <row r="22" spans="1:8" ht="15" thickBot="1" x14ac:dyDescent="0.35"/>
    <row r="23" spans="1:8" ht="15" thickBot="1" x14ac:dyDescent="0.35">
      <c r="A23">
        <v>4</v>
      </c>
      <c r="B23" t="s">
        <v>437</v>
      </c>
      <c r="H23" s="106">
        <f>SUMIF(C5:C14,"&gt;10000",C5:C14)</f>
        <v>65000</v>
      </c>
    </row>
    <row r="24" spans="1:8" ht="15" thickBot="1" x14ac:dyDescent="0.35">
      <c r="A24">
        <v>5</v>
      </c>
      <c r="B24" t="s">
        <v>438</v>
      </c>
      <c r="H24" s="106">
        <f>SUMIF(C5:C14,"&lt;9500",C5:C14)</f>
        <v>31000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39F5-55F8-4BD6-8428-E7C684523D84}">
  <dimension ref="A2:K32"/>
  <sheetViews>
    <sheetView workbookViewId="0">
      <selection activeCell="A3" sqref="A3:XFD5"/>
    </sheetView>
  </sheetViews>
  <sheetFormatPr defaultRowHeight="14.4" x14ac:dyDescent="0.3"/>
  <cols>
    <col min="2" max="2" width="28.109375" customWidth="1"/>
    <col min="3" max="3" width="16.109375" customWidth="1"/>
    <col min="5" max="5" width="12.21875" customWidth="1"/>
  </cols>
  <sheetData>
    <row r="2" spans="1:11" ht="21" x14ac:dyDescent="0.4">
      <c r="B2" s="168" t="s">
        <v>673</v>
      </c>
    </row>
    <row r="4" spans="1:11" x14ac:dyDescent="0.3">
      <c r="A4" s="107"/>
      <c r="B4" s="108" t="s">
        <v>439</v>
      </c>
      <c r="C4" s="107"/>
      <c r="D4" s="107"/>
      <c r="E4" s="107"/>
      <c r="F4" s="107"/>
      <c r="G4" s="107"/>
      <c r="H4" s="107"/>
      <c r="I4" s="107"/>
      <c r="J4" s="107"/>
      <c r="K4" s="107"/>
    </row>
    <row r="5" spans="1:11" x14ac:dyDescent="0.3">
      <c r="A5" s="107"/>
      <c r="B5" s="109" t="s">
        <v>1</v>
      </c>
      <c r="C5" s="109" t="s">
        <v>440</v>
      </c>
      <c r="D5" s="109" t="s">
        <v>441</v>
      </c>
      <c r="E5" s="109" t="s">
        <v>442</v>
      </c>
      <c r="F5" s="107"/>
      <c r="G5" s="107"/>
      <c r="H5" s="107"/>
      <c r="I5" s="107"/>
      <c r="J5" s="107"/>
      <c r="K5" s="107"/>
    </row>
    <row r="6" spans="1:11" x14ac:dyDescent="0.3">
      <c r="A6" s="107"/>
      <c r="B6" s="110" t="s">
        <v>443</v>
      </c>
      <c r="C6" s="110" t="s">
        <v>444</v>
      </c>
      <c r="D6" s="110" t="s">
        <v>445</v>
      </c>
      <c r="E6" s="110">
        <v>28</v>
      </c>
      <c r="F6" s="107"/>
      <c r="G6" s="107"/>
      <c r="H6" s="107"/>
      <c r="I6" s="107"/>
      <c r="J6" s="107"/>
      <c r="K6" s="107"/>
    </row>
    <row r="7" spans="1:11" x14ac:dyDescent="0.3">
      <c r="A7" s="107"/>
      <c r="B7" s="110" t="s">
        <v>446</v>
      </c>
      <c r="C7" s="110" t="s">
        <v>447</v>
      </c>
      <c r="D7" s="110" t="s">
        <v>448</v>
      </c>
      <c r="E7" s="110">
        <v>8</v>
      </c>
      <c r="F7" s="107"/>
      <c r="G7" s="107"/>
      <c r="H7" s="107"/>
      <c r="I7" s="107"/>
      <c r="J7" s="107"/>
      <c r="K7" s="107"/>
    </row>
    <row r="8" spans="1:11" x14ac:dyDescent="0.3">
      <c r="A8" s="107"/>
      <c r="B8" s="110" t="s">
        <v>449</v>
      </c>
      <c r="C8" s="110" t="s">
        <v>450</v>
      </c>
      <c r="D8" s="110" t="s">
        <v>445</v>
      </c>
      <c r="E8" s="110">
        <v>19</v>
      </c>
      <c r="F8" s="107"/>
      <c r="G8" s="107"/>
      <c r="H8" s="107"/>
      <c r="I8" s="107"/>
      <c r="J8" s="107"/>
      <c r="K8" s="107"/>
    </row>
    <row r="9" spans="1:11" x14ac:dyDescent="0.3">
      <c r="A9" s="107"/>
      <c r="B9" s="110" t="s">
        <v>451</v>
      </c>
      <c r="C9" s="110" t="s">
        <v>452</v>
      </c>
      <c r="D9" s="110" t="s">
        <v>453</v>
      </c>
      <c r="E9" s="110">
        <v>2</v>
      </c>
      <c r="F9" s="107"/>
      <c r="G9" s="107"/>
      <c r="H9" s="107"/>
      <c r="I9" s="107"/>
      <c r="J9" s="107"/>
      <c r="K9" s="107"/>
    </row>
    <row r="10" spans="1:11" x14ac:dyDescent="0.3">
      <c r="A10" s="107"/>
      <c r="B10" s="110" t="s">
        <v>454</v>
      </c>
      <c r="C10" s="110" t="s">
        <v>450</v>
      </c>
      <c r="D10" s="110" t="s">
        <v>455</v>
      </c>
      <c r="E10" s="110">
        <v>5</v>
      </c>
      <c r="F10" s="107"/>
      <c r="G10" s="107"/>
      <c r="H10" s="107"/>
      <c r="I10" s="107"/>
      <c r="J10" s="107"/>
      <c r="K10" s="107"/>
    </row>
    <row r="11" spans="1:11" x14ac:dyDescent="0.3">
      <c r="A11" s="107"/>
      <c r="B11" s="110" t="s">
        <v>456</v>
      </c>
      <c r="C11" s="110" t="s">
        <v>447</v>
      </c>
      <c r="D11" s="110" t="s">
        <v>445</v>
      </c>
      <c r="E11" s="110">
        <v>9</v>
      </c>
      <c r="F11" s="107"/>
      <c r="G11" s="107"/>
      <c r="H11" s="107"/>
      <c r="I11" s="107"/>
      <c r="J11" s="107"/>
      <c r="K11" s="107"/>
    </row>
    <row r="12" spans="1:11" x14ac:dyDescent="0.3">
      <c r="A12" s="107"/>
      <c r="B12" s="110" t="s">
        <v>457</v>
      </c>
      <c r="C12" s="110" t="s">
        <v>450</v>
      </c>
      <c r="D12" s="110" t="s">
        <v>458</v>
      </c>
      <c r="E12" s="110">
        <v>18</v>
      </c>
      <c r="F12" s="107"/>
      <c r="G12" s="107"/>
      <c r="H12" s="107"/>
      <c r="I12" s="107"/>
      <c r="J12" s="107"/>
      <c r="K12" s="107"/>
    </row>
    <row r="13" spans="1:11" x14ac:dyDescent="0.3">
      <c r="A13" s="107"/>
      <c r="B13" s="110" t="s">
        <v>459</v>
      </c>
      <c r="C13" s="110" t="s">
        <v>444</v>
      </c>
      <c r="D13" s="110" t="s">
        <v>445</v>
      </c>
      <c r="E13" s="110">
        <v>11</v>
      </c>
      <c r="F13" s="107"/>
      <c r="G13" s="107"/>
      <c r="H13" s="107"/>
      <c r="I13" s="107"/>
      <c r="J13" s="107"/>
      <c r="K13" s="107"/>
    </row>
    <row r="14" spans="1:11" x14ac:dyDescent="0.3">
      <c r="A14" s="107"/>
      <c r="B14" s="110" t="s">
        <v>460</v>
      </c>
      <c r="C14" s="110" t="s">
        <v>452</v>
      </c>
      <c r="D14" s="110" t="s">
        <v>461</v>
      </c>
      <c r="E14" s="110">
        <v>3</v>
      </c>
      <c r="F14" s="107"/>
      <c r="G14" s="107"/>
      <c r="H14" s="107"/>
      <c r="I14" s="107"/>
      <c r="J14" s="107"/>
      <c r="K14" s="107"/>
    </row>
    <row r="15" spans="1:11" x14ac:dyDescent="0.3">
      <c r="A15" s="107"/>
      <c r="B15" s="110" t="s">
        <v>462</v>
      </c>
      <c r="C15" s="110" t="s">
        <v>447</v>
      </c>
      <c r="D15" s="110" t="s">
        <v>463</v>
      </c>
      <c r="E15" s="110">
        <v>15</v>
      </c>
      <c r="F15" s="107"/>
      <c r="G15" s="107"/>
      <c r="H15" s="107"/>
      <c r="I15" s="107"/>
      <c r="J15" s="107"/>
      <c r="K15" s="107"/>
    </row>
    <row r="16" spans="1:11" x14ac:dyDescent="0.3">
      <c r="A16" s="107"/>
      <c r="B16" s="107"/>
      <c r="C16" s="107"/>
      <c r="D16" s="107"/>
      <c r="E16" s="107"/>
      <c r="F16" s="107"/>
      <c r="G16" s="107"/>
      <c r="H16" s="107"/>
      <c r="I16" s="107"/>
      <c r="J16" s="107"/>
      <c r="K16" s="107"/>
    </row>
    <row r="17" spans="1:11" x14ac:dyDescent="0.3">
      <c r="A17" s="107"/>
      <c r="B17" s="111" t="s">
        <v>464</v>
      </c>
      <c r="C17" s="107"/>
      <c r="D17" s="107"/>
      <c r="E17" s="112" t="s">
        <v>465</v>
      </c>
      <c r="F17" s="107"/>
      <c r="G17" s="107"/>
      <c r="H17" s="107"/>
      <c r="I17" s="107"/>
      <c r="J17" s="107"/>
      <c r="K17" s="107"/>
    </row>
    <row r="18" spans="1:11" x14ac:dyDescent="0.3">
      <c r="A18" s="107"/>
      <c r="B18" s="107"/>
      <c r="C18" s="107"/>
      <c r="D18" s="107"/>
      <c r="E18" s="107"/>
      <c r="F18" s="107"/>
      <c r="G18" s="107"/>
      <c r="H18" s="107"/>
      <c r="I18" s="107"/>
      <c r="J18" s="107"/>
      <c r="K18" s="107"/>
    </row>
    <row r="19" spans="1:11" x14ac:dyDescent="0.3">
      <c r="A19" s="107">
        <v>1</v>
      </c>
      <c r="B19" s="113" t="s">
        <v>466</v>
      </c>
      <c r="C19" s="107"/>
      <c r="D19" s="107"/>
      <c r="E19" s="107"/>
      <c r="F19" s="107"/>
      <c r="G19" s="107"/>
      <c r="H19" s="107"/>
      <c r="I19" s="107"/>
      <c r="J19" s="107"/>
      <c r="K19" s="107"/>
    </row>
    <row r="20" spans="1:11" x14ac:dyDescent="0.3">
      <c r="A20" s="107"/>
      <c r="B20" s="107"/>
      <c r="C20" s="114" t="s">
        <v>467</v>
      </c>
      <c r="D20" s="114"/>
      <c r="E20" s="107"/>
      <c r="F20" s="107"/>
      <c r="G20" s="107"/>
      <c r="H20" s="107"/>
      <c r="I20" s="107"/>
      <c r="J20" s="107"/>
      <c r="K20" s="107"/>
    </row>
    <row r="21" spans="1:11" x14ac:dyDescent="0.3">
      <c r="A21" s="107"/>
      <c r="B21" s="115" t="s">
        <v>111</v>
      </c>
      <c r="C21" s="116">
        <f>SUMIFS(E6:E15,D6:D15,D8,C6:C15,C11)</f>
        <v>9</v>
      </c>
      <c r="D21" s="107"/>
      <c r="E21" s="107"/>
      <c r="F21" s="107"/>
      <c r="G21" s="107"/>
      <c r="H21" s="107"/>
      <c r="I21" s="107"/>
      <c r="J21" s="107"/>
      <c r="K21" s="107"/>
    </row>
    <row r="22" spans="1:11" x14ac:dyDescent="0.3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</row>
    <row r="23" spans="1:11" x14ac:dyDescent="0.3">
      <c r="A23" s="107">
        <v>2</v>
      </c>
      <c r="B23" s="113" t="s">
        <v>468</v>
      </c>
      <c r="C23" s="107"/>
      <c r="D23" s="107"/>
      <c r="E23" s="107"/>
      <c r="F23" s="107"/>
      <c r="G23" s="107"/>
      <c r="H23" s="107"/>
      <c r="I23" s="107"/>
      <c r="J23" s="107"/>
      <c r="K23" s="107"/>
    </row>
    <row r="24" spans="1:11" x14ac:dyDescent="0.3">
      <c r="A24" s="107"/>
      <c r="B24" s="107"/>
      <c r="C24" s="114" t="s">
        <v>467</v>
      </c>
      <c r="D24" s="114"/>
      <c r="E24" s="107"/>
      <c r="F24" s="107"/>
      <c r="G24" s="107"/>
      <c r="H24" s="107"/>
      <c r="I24" s="107"/>
      <c r="J24" s="107"/>
      <c r="K24" s="107"/>
    </row>
    <row r="25" spans="1:11" x14ac:dyDescent="0.3">
      <c r="A25" s="107"/>
      <c r="B25" s="115" t="s">
        <v>111</v>
      </c>
      <c r="C25" s="116">
        <f>SUMIF(C6:C15,C9,E6:E15)</f>
        <v>5</v>
      </c>
      <c r="D25" s="107"/>
      <c r="E25" s="107"/>
      <c r="F25" s="107"/>
      <c r="G25" s="107"/>
      <c r="H25" s="107"/>
      <c r="I25" s="107"/>
      <c r="J25" s="107"/>
      <c r="K25" s="107"/>
    </row>
    <row r="26" spans="1:11" x14ac:dyDescent="0.3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</row>
    <row r="27" spans="1:11" x14ac:dyDescent="0.3">
      <c r="A27" s="107">
        <v>2</v>
      </c>
      <c r="B27" s="113" t="s">
        <v>469</v>
      </c>
      <c r="C27" s="107"/>
      <c r="D27" s="107"/>
      <c r="E27" s="107"/>
      <c r="F27" s="107"/>
      <c r="G27" s="107"/>
      <c r="H27" s="107"/>
      <c r="I27" s="107"/>
      <c r="J27" s="107"/>
      <c r="K27" s="107"/>
    </row>
    <row r="28" spans="1:11" x14ac:dyDescent="0.3">
      <c r="A28" s="107"/>
      <c r="B28" s="107"/>
      <c r="C28" s="114" t="s">
        <v>467</v>
      </c>
      <c r="D28" s="114"/>
      <c r="E28" s="107"/>
      <c r="F28" s="107"/>
      <c r="G28" s="107"/>
      <c r="H28" s="107"/>
      <c r="I28" s="107"/>
      <c r="J28" s="107"/>
      <c r="K28" s="107"/>
    </row>
    <row r="29" spans="1:11" x14ac:dyDescent="0.3">
      <c r="A29" s="107"/>
      <c r="B29" s="115" t="s">
        <v>111</v>
      </c>
      <c r="C29" s="116">
        <f>SUMIF(D6:D15,D6,E6:E15)+SUMIF(D6:D15,D7,E6:E15)</f>
        <v>75</v>
      </c>
      <c r="D29" s="107"/>
      <c r="E29" s="107"/>
      <c r="F29" s="107"/>
      <c r="G29" s="107"/>
      <c r="H29" s="107"/>
      <c r="I29" s="107"/>
      <c r="J29" s="107"/>
      <c r="K29" s="107"/>
    </row>
    <row r="30" spans="1:11" x14ac:dyDescent="0.3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</row>
    <row r="31" spans="1:11" x14ac:dyDescent="0.3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</row>
    <row r="32" spans="1:11" x14ac:dyDescent="0.3">
      <c r="A32" s="107"/>
      <c r="B32" s="107"/>
      <c r="C32" s="107"/>
      <c r="D32" s="107"/>
      <c r="E32" s="107"/>
      <c r="F32" s="107"/>
      <c r="G32" s="107"/>
      <c r="H32" s="107"/>
      <c r="I32" s="107"/>
      <c r="J32" s="107"/>
      <c r="K32" s="107"/>
    </row>
  </sheetData>
  <hyperlinks>
    <hyperlink ref="E17" location="'SUMIF2  Answers'!A1" display="'SUMIF2  Answers'!A1" xr:uid="{8FD1CE51-AD50-4769-B520-AF61CA9D9A99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58E4D-9081-4B8A-9167-2392CD52E970}">
  <dimension ref="A2:M28"/>
  <sheetViews>
    <sheetView workbookViewId="0">
      <selection activeCell="A5" sqref="A5:XFD9"/>
    </sheetView>
  </sheetViews>
  <sheetFormatPr defaultRowHeight="14.4" x14ac:dyDescent="0.3"/>
  <cols>
    <col min="1" max="1" width="10.33203125" customWidth="1"/>
    <col min="2" max="2" width="13.33203125" bestFit="1" customWidth="1"/>
    <col min="7" max="7" width="12.33203125" customWidth="1"/>
    <col min="8" max="8" width="13.33203125" bestFit="1" customWidth="1"/>
  </cols>
  <sheetData>
    <row r="2" spans="1:13" ht="21" x14ac:dyDescent="0.4">
      <c r="B2" s="168" t="s">
        <v>674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ht="21" x14ac:dyDescent="0.4">
      <c r="B3" s="168" t="s">
        <v>675</v>
      </c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</row>
    <row r="5" spans="1:13" x14ac:dyDescent="0.3">
      <c r="G5" s="105" t="s">
        <v>516</v>
      </c>
    </row>
    <row r="6" spans="1:13" ht="15" thickBot="1" x14ac:dyDescent="0.35"/>
    <row r="7" spans="1:13" x14ac:dyDescent="0.3">
      <c r="G7" s="136" t="s">
        <v>253</v>
      </c>
      <c r="H7" s="137" t="s">
        <v>517</v>
      </c>
    </row>
    <row r="8" spans="1:13" x14ac:dyDescent="0.3">
      <c r="A8" s="105" t="s">
        <v>253</v>
      </c>
      <c r="B8" s="105" t="s">
        <v>517</v>
      </c>
      <c r="G8" s="138">
        <v>44197</v>
      </c>
      <c r="H8" s="139">
        <v>1.3671</v>
      </c>
    </row>
    <row r="9" spans="1:13" x14ac:dyDescent="0.3">
      <c r="A9" s="134">
        <v>44201</v>
      </c>
      <c r="B9" s="135">
        <f>VLOOKUP(G10,G7:H28,2,0)</f>
        <v>1.3624000000000001</v>
      </c>
      <c r="G9" s="138">
        <v>44200</v>
      </c>
      <c r="H9" s="139">
        <v>1.3569</v>
      </c>
    </row>
    <row r="10" spans="1:13" x14ac:dyDescent="0.3">
      <c r="A10" s="134">
        <v>44211</v>
      </c>
      <c r="B10" s="135">
        <f>VLOOKUP(G18,G7:H28,2,0)</f>
        <v>1.3586</v>
      </c>
      <c r="G10" s="138">
        <v>44201</v>
      </c>
      <c r="H10" s="139">
        <v>1.3624000000000001</v>
      </c>
    </row>
    <row r="11" spans="1:13" x14ac:dyDescent="0.3">
      <c r="A11" s="134">
        <v>44220</v>
      </c>
      <c r="B11" s="135" t="e">
        <f>VLOOKUP(A11,G8:H28,2,0)</f>
        <v>#N/A</v>
      </c>
      <c r="G11" s="138">
        <v>44202</v>
      </c>
      <c r="H11" s="139">
        <v>1.3607</v>
      </c>
    </row>
    <row r="12" spans="1:13" x14ac:dyDescent="0.3">
      <c r="G12" s="138">
        <v>44203</v>
      </c>
      <c r="H12" s="139">
        <v>1.3563000000000001</v>
      </c>
    </row>
    <row r="13" spans="1:13" x14ac:dyDescent="0.3">
      <c r="G13" s="138">
        <v>44204</v>
      </c>
      <c r="H13" s="139">
        <v>1.3563000000000001</v>
      </c>
    </row>
    <row r="14" spans="1:13" x14ac:dyDescent="0.3">
      <c r="G14" s="138">
        <v>44207</v>
      </c>
      <c r="H14" s="139">
        <v>1.3513999999999999</v>
      </c>
    </row>
    <row r="15" spans="1:13" x14ac:dyDescent="0.3">
      <c r="G15" s="138">
        <v>44208</v>
      </c>
      <c r="H15" s="139">
        <v>1.3663000000000001</v>
      </c>
    </row>
    <row r="16" spans="1:13" x14ac:dyDescent="0.3">
      <c r="G16" s="138">
        <v>44209</v>
      </c>
      <c r="H16" s="139">
        <v>1.3636999999999999</v>
      </c>
    </row>
    <row r="17" spans="7:8" x14ac:dyDescent="0.3">
      <c r="G17" s="138">
        <v>44210</v>
      </c>
      <c r="H17" s="139">
        <v>1.3687</v>
      </c>
    </row>
    <row r="18" spans="7:8" x14ac:dyDescent="0.3">
      <c r="G18" s="138">
        <v>44211</v>
      </c>
      <c r="H18" s="139">
        <v>1.3586</v>
      </c>
    </row>
    <row r="19" spans="7:8" x14ac:dyDescent="0.3">
      <c r="G19" s="138">
        <v>44214</v>
      </c>
      <c r="H19" s="139">
        <v>1.3584000000000001</v>
      </c>
    </row>
    <row r="20" spans="7:8" x14ac:dyDescent="0.3">
      <c r="G20" s="138">
        <v>44215</v>
      </c>
      <c r="H20" s="139">
        <v>1.3628</v>
      </c>
    </row>
    <row r="21" spans="7:8" x14ac:dyDescent="0.3">
      <c r="G21" s="138">
        <v>44216</v>
      </c>
      <c r="H21" s="139">
        <v>1.3653</v>
      </c>
    </row>
    <row r="22" spans="7:8" x14ac:dyDescent="0.3">
      <c r="G22" s="138">
        <v>44217</v>
      </c>
      <c r="H22" s="139">
        <v>1.3732</v>
      </c>
    </row>
    <row r="23" spans="7:8" x14ac:dyDescent="0.3">
      <c r="G23" s="138">
        <v>44218</v>
      </c>
      <c r="H23" s="139">
        <v>1.3684000000000001</v>
      </c>
    </row>
    <row r="24" spans="7:8" x14ac:dyDescent="0.3">
      <c r="G24" s="138">
        <v>44221</v>
      </c>
      <c r="H24" s="139">
        <v>1.3673999999999999</v>
      </c>
    </row>
    <row r="25" spans="7:8" x14ac:dyDescent="0.3">
      <c r="G25" s="138">
        <v>44222</v>
      </c>
      <c r="H25" s="139">
        <v>1.3733</v>
      </c>
    </row>
    <row r="26" spans="7:8" x14ac:dyDescent="0.3">
      <c r="G26" s="138">
        <v>44223</v>
      </c>
      <c r="H26" s="139">
        <v>1.3686</v>
      </c>
    </row>
    <row r="27" spans="7:8" x14ac:dyDescent="0.3">
      <c r="G27" s="138">
        <v>44224</v>
      </c>
      <c r="H27" s="139">
        <v>1.3717999999999999</v>
      </c>
    </row>
    <row r="28" spans="7:8" ht="15" thickBot="1" x14ac:dyDescent="0.35">
      <c r="G28" s="140">
        <v>44225</v>
      </c>
      <c r="H28" s="141">
        <v>1.3702000000000001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36123-80D6-4FA3-A780-66A7AC7615AE}">
  <dimension ref="A2:H39"/>
  <sheetViews>
    <sheetView workbookViewId="0">
      <selection activeCell="I23" sqref="I23"/>
    </sheetView>
  </sheetViews>
  <sheetFormatPr defaultRowHeight="14.4" x14ac:dyDescent="0.3"/>
  <cols>
    <col min="3" max="3" width="17" customWidth="1"/>
    <col min="4" max="4" width="13.44140625" customWidth="1"/>
    <col min="5" max="5" width="12.6640625" customWidth="1"/>
  </cols>
  <sheetData>
    <row r="2" spans="1:8" ht="21" x14ac:dyDescent="0.4">
      <c r="B2" s="168" t="s">
        <v>676</v>
      </c>
      <c r="C2" s="168"/>
      <c r="D2" s="168"/>
      <c r="E2" s="168"/>
      <c r="F2" s="168"/>
      <c r="G2" s="168"/>
    </row>
    <row r="3" spans="1:8" ht="21" x14ac:dyDescent="0.4">
      <c r="B3" s="168" t="s">
        <v>677</v>
      </c>
      <c r="C3" s="168"/>
      <c r="D3" s="168"/>
      <c r="E3" s="168"/>
      <c r="F3" s="168"/>
      <c r="G3" s="168"/>
    </row>
    <row r="4" spans="1:8" x14ac:dyDescent="0.3">
      <c r="B4" s="105"/>
      <c r="C4" s="105"/>
      <c r="D4" s="105"/>
      <c r="E4" s="105"/>
      <c r="F4" s="105"/>
      <c r="G4" s="105"/>
    </row>
    <row r="5" spans="1:8" x14ac:dyDescent="0.3">
      <c r="A5" s="142"/>
      <c r="B5" s="175" t="s">
        <v>518</v>
      </c>
      <c r="C5" s="176"/>
      <c r="D5" s="176"/>
      <c r="E5" s="176"/>
      <c r="F5" s="143"/>
      <c r="G5" s="143"/>
      <c r="H5" s="143"/>
    </row>
    <row r="6" spans="1:8" x14ac:dyDescent="0.3">
      <c r="A6" s="142"/>
      <c r="B6" s="143"/>
      <c r="C6" s="143"/>
      <c r="D6" s="143"/>
      <c r="E6" s="143"/>
      <c r="F6" s="143"/>
      <c r="G6" s="143"/>
      <c r="H6" s="143"/>
    </row>
    <row r="7" spans="1:8" x14ac:dyDescent="0.3">
      <c r="A7" s="142"/>
      <c r="B7" s="144" t="s">
        <v>90</v>
      </c>
      <c r="C7" s="145" t="s">
        <v>1</v>
      </c>
      <c r="D7" s="145" t="s">
        <v>519</v>
      </c>
      <c r="E7" s="145" t="s">
        <v>107</v>
      </c>
      <c r="F7" s="145" t="s">
        <v>141</v>
      </c>
      <c r="G7" s="143"/>
      <c r="H7" s="143"/>
    </row>
    <row r="8" spans="1:8" x14ac:dyDescent="0.3">
      <c r="A8" s="142"/>
      <c r="B8" s="146">
        <v>56815</v>
      </c>
      <c r="C8" s="147" t="s">
        <v>520</v>
      </c>
      <c r="D8" s="147" t="s">
        <v>521</v>
      </c>
      <c r="E8" s="148">
        <v>13836</v>
      </c>
      <c r="F8" s="148">
        <v>25</v>
      </c>
      <c r="G8" s="143"/>
      <c r="H8" s="143"/>
    </row>
    <row r="9" spans="1:8" x14ac:dyDescent="0.3">
      <c r="A9" s="142"/>
      <c r="B9" s="146">
        <v>51186</v>
      </c>
      <c r="C9" s="147" t="s">
        <v>522</v>
      </c>
      <c r="D9" s="147" t="s">
        <v>523</v>
      </c>
      <c r="E9" s="148">
        <v>11771</v>
      </c>
      <c r="F9" s="148">
        <v>32</v>
      </c>
      <c r="G9" s="143"/>
      <c r="H9" s="143"/>
    </row>
    <row r="10" spans="1:8" x14ac:dyDescent="0.3">
      <c r="A10" s="142"/>
      <c r="B10" s="146">
        <v>51511</v>
      </c>
      <c r="C10" s="147" t="s">
        <v>524</v>
      </c>
      <c r="D10" s="147" t="s">
        <v>525</v>
      </c>
      <c r="E10" s="148">
        <v>13046</v>
      </c>
      <c r="F10" s="148">
        <v>35</v>
      </c>
      <c r="G10" s="143"/>
      <c r="H10" s="143"/>
    </row>
    <row r="11" spans="1:8" x14ac:dyDescent="0.3">
      <c r="A11" s="142"/>
      <c r="B11" s="146">
        <v>50890</v>
      </c>
      <c r="C11" s="147" t="s">
        <v>526</v>
      </c>
      <c r="D11" s="147" t="s">
        <v>527</v>
      </c>
      <c r="E11" s="148">
        <v>18276</v>
      </c>
      <c r="F11" s="148">
        <v>32</v>
      </c>
      <c r="G11" s="143"/>
      <c r="H11" s="143"/>
    </row>
    <row r="12" spans="1:8" x14ac:dyDescent="0.3">
      <c r="A12" s="142"/>
      <c r="B12" s="146">
        <v>53700</v>
      </c>
      <c r="C12" s="147" t="s">
        <v>528</v>
      </c>
      <c r="D12" s="147" t="s">
        <v>529</v>
      </c>
      <c r="E12" s="148">
        <v>19327</v>
      </c>
      <c r="F12" s="148">
        <v>26</v>
      </c>
      <c r="G12" s="143"/>
      <c r="H12" s="143"/>
    </row>
    <row r="13" spans="1:8" x14ac:dyDescent="0.3">
      <c r="A13" s="142"/>
      <c r="B13" s="146">
        <v>55879</v>
      </c>
      <c r="C13" s="147" t="s">
        <v>530</v>
      </c>
      <c r="D13" s="147" t="s">
        <v>531</v>
      </c>
      <c r="E13" s="148">
        <v>18996</v>
      </c>
      <c r="F13" s="148">
        <v>35</v>
      </c>
      <c r="G13" s="143"/>
      <c r="H13" s="143"/>
    </row>
    <row r="14" spans="1:8" x14ac:dyDescent="0.3">
      <c r="A14" s="142"/>
      <c r="B14" s="146">
        <v>59848</v>
      </c>
      <c r="C14" s="147" t="s">
        <v>532</v>
      </c>
      <c r="D14" s="147" t="s">
        <v>525</v>
      </c>
      <c r="E14" s="148">
        <v>10387</v>
      </c>
      <c r="F14" s="148">
        <v>25</v>
      </c>
      <c r="G14" s="143"/>
      <c r="H14" s="143"/>
    </row>
    <row r="15" spans="1:8" x14ac:dyDescent="0.3">
      <c r="A15" s="142"/>
      <c r="B15" s="146">
        <v>58369</v>
      </c>
      <c r="C15" s="147" t="s">
        <v>533</v>
      </c>
      <c r="D15" s="147" t="s">
        <v>531</v>
      </c>
      <c r="E15" s="148">
        <v>12566</v>
      </c>
      <c r="F15" s="148">
        <v>37</v>
      </c>
      <c r="G15" s="143"/>
      <c r="H15" s="143"/>
    </row>
    <row r="16" spans="1:8" x14ac:dyDescent="0.3">
      <c r="A16" s="142"/>
      <c r="B16" s="146">
        <v>50217</v>
      </c>
      <c r="C16" s="147" t="s">
        <v>534</v>
      </c>
      <c r="D16" s="147" t="s">
        <v>535</v>
      </c>
      <c r="E16" s="148">
        <v>16406</v>
      </c>
      <c r="F16" s="148">
        <v>42</v>
      </c>
      <c r="G16" s="143"/>
      <c r="H16" s="143"/>
    </row>
    <row r="17" spans="1:8" x14ac:dyDescent="0.3">
      <c r="A17" s="142"/>
      <c r="B17" s="146">
        <v>50695</v>
      </c>
      <c r="C17" s="147" t="s">
        <v>536</v>
      </c>
      <c r="D17" s="147" t="s">
        <v>527</v>
      </c>
      <c r="E17" s="148">
        <v>15784</v>
      </c>
      <c r="F17" s="148">
        <v>43</v>
      </c>
      <c r="G17" s="143"/>
      <c r="H17" s="143"/>
    </row>
    <row r="18" spans="1:8" x14ac:dyDescent="0.3">
      <c r="A18" s="142"/>
      <c r="B18" s="146">
        <v>59673</v>
      </c>
      <c r="C18" s="147" t="s">
        <v>537</v>
      </c>
      <c r="D18" s="147" t="s">
        <v>521</v>
      </c>
      <c r="E18" s="148">
        <v>10959</v>
      </c>
      <c r="F18" s="148">
        <v>30</v>
      </c>
      <c r="G18" s="143"/>
      <c r="H18" s="143"/>
    </row>
    <row r="19" spans="1:8" x14ac:dyDescent="0.3">
      <c r="A19" s="142"/>
      <c r="B19" s="146">
        <v>52130</v>
      </c>
      <c r="C19" s="147" t="s">
        <v>538</v>
      </c>
      <c r="D19" s="147" t="s">
        <v>539</v>
      </c>
      <c r="E19" s="148">
        <v>14562</v>
      </c>
      <c r="F19" s="148">
        <v>32</v>
      </c>
      <c r="G19" s="143"/>
      <c r="H19" s="143"/>
    </row>
    <row r="20" spans="1:8" x14ac:dyDescent="0.3">
      <c r="A20" s="142"/>
      <c r="B20" s="143"/>
      <c r="C20" s="143"/>
      <c r="D20" s="143"/>
      <c r="E20" s="143"/>
      <c r="F20" s="143"/>
      <c r="G20" s="143"/>
      <c r="H20" s="143"/>
    </row>
    <row r="21" spans="1:8" x14ac:dyDescent="0.3">
      <c r="A21" s="149">
        <v>1</v>
      </c>
      <c r="B21" s="143" t="s">
        <v>540</v>
      </c>
      <c r="E21" s="150" t="str">
        <f>VLOOKUP(B15,B7:F19,2,0)</f>
        <v>Thomas Davies</v>
      </c>
      <c r="F21" s="143"/>
      <c r="G21" s="143"/>
      <c r="H21" s="143"/>
    </row>
    <row r="22" spans="1:8" x14ac:dyDescent="0.3">
      <c r="A22" s="142"/>
      <c r="B22" s="143"/>
      <c r="C22" s="143"/>
      <c r="D22" s="143"/>
      <c r="E22" s="143"/>
      <c r="F22" s="143"/>
      <c r="G22" s="143"/>
      <c r="H22" s="143"/>
    </row>
    <row r="23" spans="1:8" x14ac:dyDescent="0.3">
      <c r="A23" s="149">
        <v>2</v>
      </c>
      <c r="B23" s="143" t="s">
        <v>541</v>
      </c>
      <c r="D23" s="143"/>
      <c r="E23" s="150">
        <f>VLOOKUP(C18,C7:F19,4,0)</f>
        <v>30</v>
      </c>
      <c r="F23" s="143"/>
      <c r="G23" s="143"/>
      <c r="H23" s="143"/>
    </row>
    <row r="24" spans="1:8" x14ac:dyDescent="0.3">
      <c r="A24" s="142"/>
      <c r="B24" s="143"/>
      <c r="C24" s="143"/>
      <c r="D24" s="143"/>
      <c r="E24" s="143"/>
      <c r="F24" s="143"/>
      <c r="G24" s="143"/>
      <c r="H24" s="143"/>
    </row>
    <row r="25" spans="1:8" x14ac:dyDescent="0.3">
      <c r="A25" s="149">
        <v>3</v>
      </c>
      <c r="B25" s="177" t="s">
        <v>542</v>
      </c>
      <c r="C25" s="176"/>
      <c r="D25" s="176"/>
      <c r="E25" s="143"/>
      <c r="F25" s="143"/>
      <c r="G25" s="143"/>
      <c r="H25" s="143"/>
    </row>
    <row r="26" spans="1:8" x14ac:dyDescent="0.3">
      <c r="A26" s="142"/>
      <c r="B26" s="143"/>
      <c r="C26" s="143"/>
      <c r="D26" s="143"/>
      <c r="E26" s="143"/>
      <c r="F26" s="143"/>
      <c r="G26" s="143"/>
      <c r="H26" s="143"/>
    </row>
    <row r="27" spans="1:8" x14ac:dyDescent="0.3">
      <c r="A27" s="142"/>
      <c r="B27" s="151" t="s">
        <v>90</v>
      </c>
      <c r="C27" s="152" t="s">
        <v>519</v>
      </c>
      <c r="D27" s="143"/>
      <c r="E27" s="143"/>
      <c r="F27" s="143"/>
      <c r="G27" s="143"/>
      <c r="H27" s="143"/>
    </row>
    <row r="28" spans="1:8" x14ac:dyDescent="0.3">
      <c r="A28" s="142"/>
      <c r="B28" s="146">
        <v>55879</v>
      </c>
      <c r="C28" s="153" t="str">
        <f>VLOOKUP(B13,B7:F19,3,0)</f>
        <v>Capetown</v>
      </c>
      <c r="D28" s="143"/>
      <c r="E28" s="143"/>
      <c r="F28" s="143"/>
      <c r="G28" s="143"/>
      <c r="H28" s="143"/>
    </row>
    <row r="29" spans="1:8" x14ac:dyDescent="0.3">
      <c r="A29" s="142"/>
      <c r="B29" s="146">
        <v>50217</v>
      </c>
      <c r="C29" s="153" t="str">
        <f>VLOOKUP(B16,B7:F19,3,0)</f>
        <v>Warsaw</v>
      </c>
      <c r="D29" s="143"/>
      <c r="E29" s="143"/>
      <c r="F29" s="143"/>
      <c r="G29" s="143"/>
      <c r="H29" s="143"/>
    </row>
    <row r="30" spans="1:8" x14ac:dyDescent="0.3">
      <c r="A30" s="142"/>
      <c r="B30" s="146">
        <v>50695</v>
      </c>
      <c r="C30" s="153" t="str">
        <f>VLOOKUP(B17,B7:F19,3,0)</f>
        <v>Cairo</v>
      </c>
      <c r="D30" s="143"/>
      <c r="E30" s="143"/>
      <c r="F30" s="143"/>
      <c r="G30" s="143"/>
      <c r="H30" s="143"/>
    </row>
    <row r="31" spans="1:8" x14ac:dyDescent="0.3">
      <c r="A31" s="142"/>
      <c r="B31" s="143"/>
      <c r="C31" s="143"/>
      <c r="D31" s="143"/>
      <c r="E31" s="143"/>
      <c r="F31" s="143"/>
      <c r="G31" s="143"/>
      <c r="H31" s="143"/>
    </row>
    <row r="32" spans="1:8" x14ac:dyDescent="0.3">
      <c r="A32" s="149">
        <v>4</v>
      </c>
      <c r="B32" s="177" t="s">
        <v>543</v>
      </c>
      <c r="C32" s="176"/>
      <c r="D32" s="176"/>
      <c r="E32" s="143"/>
      <c r="F32" s="143"/>
      <c r="G32" s="143"/>
      <c r="H32" s="143"/>
    </row>
    <row r="33" spans="1:8" x14ac:dyDescent="0.3">
      <c r="A33" s="142"/>
      <c r="B33" s="143"/>
      <c r="C33" s="143"/>
      <c r="D33" s="143"/>
      <c r="E33" s="143"/>
      <c r="F33" s="143"/>
      <c r="G33" s="143"/>
      <c r="H33" s="143"/>
    </row>
    <row r="34" spans="1:8" x14ac:dyDescent="0.3">
      <c r="A34" s="142"/>
      <c r="B34" s="151" t="s">
        <v>1</v>
      </c>
      <c r="C34" s="152" t="s">
        <v>107</v>
      </c>
      <c r="D34" s="143"/>
      <c r="E34" s="143"/>
      <c r="F34" s="143"/>
      <c r="G34" s="143"/>
      <c r="H34" s="143"/>
    </row>
    <row r="35" spans="1:8" x14ac:dyDescent="0.3">
      <c r="A35" s="142"/>
      <c r="B35" s="154" t="s">
        <v>526</v>
      </c>
      <c r="C35" s="153">
        <f>VLOOKUP(C11,C7:F19,3,0)</f>
        <v>18276</v>
      </c>
      <c r="D35" s="143"/>
      <c r="E35" s="143"/>
      <c r="F35" s="143"/>
      <c r="G35" s="143"/>
      <c r="H35" s="143"/>
    </row>
    <row r="36" spans="1:8" x14ac:dyDescent="0.3">
      <c r="A36" s="142"/>
      <c r="B36" s="154" t="s">
        <v>544</v>
      </c>
      <c r="C36" s="153" t="e">
        <f>VLOOKUP(B36,C7:F19,3,0)</f>
        <v>#N/A</v>
      </c>
      <c r="D36" s="143"/>
      <c r="E36" s="143"/>
      <c r="F36" s="143"/>
      <c r="G36" s="143"/>
      <c r="H36" s="143"/>
    </row>
    <row r="37" spans="1:8" x14ac:dyDescent="0.3">
      <c r="A37" s="142"/>
      <c r="B37" s="154" t="s">
        <v>537</v>
      </c>
      <c r="C37" s="153">
        <f>VLOOKUP(C18,C7:F19,3,0)</f>
        <v>10959</v>
      </c>
      <c r="D37" s="143"/>
      <c r="E37" s="143"/>
      <c r="F37" s="143"/>
      <c r="G37" s="143"/>
      <c r="H37" s="143"/>
    </row>
    <row r="38" spans="1:8" x14ac:dyDescent="0.3">
      <c r="A38" s="142"/>
      <c r="B38" s="143"/>
      <c r="C38" s="143"/>
      <c r="D38" s="143"/>
      <c r="E38" s="143"/>
      <c r="F38" s="143"/>
      <c r="G38" s="143"/>
      <c r="H38" s="143"/>
    </row>
    <row r="39" spans="1:8" x14ac:dyDescent="0.3">
      <c r="A39" s="142"/>
      <c r="B39" s="143"/>
      <c r="C39" s="143"/>
      <c r="D39" s="143"/>
      <c r="E39" s="143"/>
      <c r="F39" s="143"/>
      <c r="G39" s="143"/>
      <c r="H39" s="143"/>
    </row>
  </sheetData>
  <mergeCells count="3">
    <mergeCell ref="B5:E5"/>
    <mergeCell ref="B25:D25"/>
    <mergeCell ref="B32:D3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61C83-F4FA-4DD3-9010-45916BFE796F}">
  <dimension ref="A2:K33"/>
  <sheetViews>
    <sheetView topLeftCell="A4" workbookViewId="0">
      <selection activeCell="H20" sqref="H20"/>
    </sheetView>
  </sheetViews>
  <sheetFormatPr defaultRowHeight="14.4" x14ac:dyDescent="0.3"/>
  <cols>
    <col min="2" max="2" width="11.5546875" customWidth="1"/>
    <col min="3" max="3" width="12.21875" customWidth="1"/>
    <col min="5" max="5" width="12.33203125" customWidth="1"/>
  </cols>
  <sheetData>
    <row r="2" spans="1:11" ht="21" x14ac:dyDescent="0.4">
      <c r="B2" s="168" t="s">
        <v>678</v>
      </c>
    </row>
    <row r="4" spans="1:11" x14ac:dyDescent="0.3">
      <c r="A4" s="155"/>
      <c r="B4" s="115" t="s">
        <v>545</v>
      </c>
      <c r="C4" s="155"/>
      <c r="D4" s="155"/>
      <c r="E4" s="155"/>
      <c r="F4" s="155"/>
      <c r="G4" s="155"/>
      <c r="H4" s="155"/>
      <c r="I4" s="155"/>
      <c r="J4" s="155"/>
      <c r="K4" s="155"/>
    </row>
    <row r="5" spans="1:11" x14ac:dyDescent="0.3">
      <c r="A5" s="155"/>
      <c r="B5" s="156" t="s">
        <v>1</v>
      </c>
      <c r="C5" s="156" t="s">
        <v>141</v>
      </c>
      <c r="D5" s="156" t="s">
        <v>546</v>
      </c>
      <c r="E5" s="156" t="s">
        <v>547</v>
      </c>
      <c r="F5" s="155"/>
      <c r="G5" s="155"/>
      <c r="H5" s="155"/>
      <c r="I5" s="155"/>
      <c r="J5" s="155"/>
      <c r="K5" s="155"/>
    </row>
    <row r="6" spans="1:11" x14ac:dyDescent="0.3">
      <c r="A6" s="155"/>
      <c r="B6" s="157" t="s">
        <v>548</v>
      </c>
      <c r="C6" s="157">
        <v>35</v>
      </c>
      <c r="D6" s="157" t="s">
        <v>549</v>
      </c>
      <c r="E6" s="157" t="s">
        <v>550</v>
      </c>
      <c r="F6" s="155"/>
      <c r="G6" s="155"/>
      <c r="H6" s="155"/>
      <c r="I6" s="155"/>
      <c r="J6" s="155"/>
      <c r="K6" s="155"/>
    </row>
    <row r="7" spans="1:11" x14ac:dyDescent="0.3">
      <c r="A7" s="155"/>
      <c r="B7" s="157" t="s">
        <v>551</v>
      </c>
      <c r="C7" s="157">
        <v>42</v>
      </c>
      <c r="D7" s="157" t="s">
        <v>552</v>
      </c>
      <c r="E7" s="157" t="s">
        <v>553</v>
      </c>
      <c r="F7" s="155"/>
      <c r="G7" s="155"/>
      <c r="H7" s="155"/>
      <c r="I7" s="155"/>
      <c r="J7" s="155"/>
      <c r="K7" s="155"/>
    </row>
    <row r="8" spans="1:11" x14ac:dyDescent="0.3">
      <c r="A8" s="155"/>
      <c r="B8" s="157" t="s">
        <v>94</v>
      </c>
      <c r="C8" s="157">
        <v>28</v>
      </c>
      <c r="D8" s="157" t="s">
        <v>549</v>
      </c>
      <c r="E8" s="157" t="s">
        <v>554</v>
      </c>
      <c r="F8" s="155"/>
      <c r="G8" s="155"/>
      <c r="H8" s="155"/>
      <c r="I8" s="155"/>
      <c r="J8" s="155"/>
      <c r="K8" s="155"/>
    </row>
    <row r="9" spans="1:11" x14ac:dyDescent="0.3">
      <c r="A9" s="155"/>
      <c r="B9" s="157" t="s">
        <v>555</v>
      </c>
      <c r="C9" s="157">
        <v>25</v>
      </c>
      <c r="D9" s="157" t="s">
        <v>552</v>
      </c>
      <c r="E9" s="157" t="s">
        <v>103</v>
      </c>
      <c r="F9" s="155"/>
      <c r="G9" s="155"/>
      <c r="H9" s="155"/>
      <c r="I9" s="155"/>
      <c r="J9" s="155"/>
      <c r="K9" s="155"/>
    </row>
    <row r="10" spans="1:11" x14ac:dyDescent="0.3">
      <c r="A10" s="155"/>
      <c r="B10" s="157" t="s">
        <v>556</v>
      </c>
      <c r="C10" s="157">
        <v>31</v>
      </c>
      <c r="D10" s="157" t="s">
        <v>549</v>
      </c>
      <c r="E10" s="157" t="s">
        <v>104</v>
      </c>
      <c r="F10" s="155"/>
      <c r="G10" s="155"/>
      <c r="H10" s="155"/>
      <c r="I10" s="155"/>
      <c r="J10" s="155"/>
      <c r="K10" s="155"/>
    </row>
    <row r="11" spans="1:11" x14ac:dyDescent="0.3">
      <c r="A11" s="155"/>
      <c r="B11" s="157" t="s">
        <v>557</v>
      </c>
      <c r="C11" s="157">
        <v>27</v>
      </c>
      <c r="D11" s="157" t="s">
        <v>552</v>
      </c>
      <c r="E11" s="157" t="s">
        <v>558</v>
      </c>
      <c r="F11" s="155"/>
      <c r="G11" s="155"/>
      <c r="H11" s="155"/>
      <c r="I11" s="155"/>
      <c r="J11" s="155"/>
      <c r="K11" s="155"/>
    </row>
    <row r="12" spans="1:11" x14ac:dyDescent="0.3">
      <c r="A12" s="155"/>
      <c r="B12" s="157" t="s">
        <v>559</v>
      </c>
      <c r="C12" s="157">
        <v>38</v>
      </c>
      <c r="D12" s="157" t="s">
        <v>549</v>
      </c>
      <c r="E12" s="157" t="s">
        <v>560</v>
      </c>
      <c r="F12" s="155"/>
      <c r="G12" s="155"/>
      <c r="H12" s="155"/>
      <c r="I12" s="155"/>
      <c r="J12" s="155"/>
      <c r="K12" s="155"/>
    </row>
    <row r="13" spans="1:11" x14ac:dyDescent="0.3">
      <c r="A13" s="155"/>
      <c r="B13" s="157" t="s">
        <v>561</v>
      </c>
      <c r="C13" s="157">
        <v>29</v>
      </c>
      <c r="D13" s="157" t="s">
        <v>552</v>
      </c>
      <c r="E13" s="157" t="s">
        <v>562</v>
      </c>
      <c r="F13" s="155"/>
      <c r="G13" s="155"/>
      <c r="H13" s="155"/>
      <c r="I13" s="155"/>
      <c r="J13" s="155"/>
      <c r="K13" s="155"/>
    </row>
    <row r="14" spans="1:11" x14ac:dyDescent="0.3">
      <c r="A14" s="155"/>
      <c r="B14" s="157" t="s">
        <v>563</v>
      </c>
      <c r="C14" s="157">
        <v>45</v>
      </c>
      <c r="D14" s="157" t="s">
        <v>549</v>
      </c>
      <c r="E14" s="157" t="s">
        <v>564</v>
      </c>
      <c r="F14" s="155"/>
      <c r="G14" s="155"/>
      <c r="H14" s="155"/>
      <c r="I14" s="155"/>
      <c r="J14" s="155"/>
      <c r="K14" s="155"/>
    </row>
    <row r="15" spans="1:11" x14ac:dyDescent="0.3">
      <c r="A15" s="155"/>
      <c r="B15" s="157" t="s">
        <v>565</v>
      </c>
      <c r="C15" s="157">
        <v>33</v>
      </c>
      <c r="D15" s="157" t="s">
        <v>552</v>
      </c>
      <c r="E15" s="157" t="s">
        <v>566</v>
      </c>
      <c r="F15" s="155"/>
      <c r="G15" s="155"/>
      <c r="H15" s="155"/>
      <c r="I15" s="155"/>
      <c r="J15" s="155"/>
      <c r="K15" s="155"/>
    </row>
    <row r="16" spans="1:11" x14ac:dyDescent="0.3">
      <c r="A16" s="155"/>
      <c r="B16" s="155"/>
      <c r="C16" s="155"/>
      <c r="D16" s="155"/>
      <c r="E16" s="155"/>
      <c r="F16" s="155"/>
      <c r="G16" s="155"/>
      <c r="H16" s="155"/>
      <c r="I16" s="155"/>
      <c r="J16" s="155"/>
      <c r="K16" s="155"/>
    </row>
    <row r="17" spans="1:11" x14ac:dyDescent="0.3">
      <c r="A17" s="155"/>
      <c r="B17" s="155"/>
      <c r="C17" s="155"/>
      <c r="D17" s="155"/>
      <c r="E17" s="155"/>
      <c r="F17" s="155"/>
      <c r="G17" s="155"/>
      <c r="H17" s="155"/>
      <c r="I17" s="155"/>
      <c r="J17" s="155"/>
      <c r="K17" s="155"/>
    </row>
    <row r="18" spans="1:11" x14ac:dyDescent="0.3">
      <c r="A18" s="155"/>
      <c r="B18" s="158" t="s">
        <v>464</v>
      </c>
      <c r="C18" s="155"/>
      <c r="D18" s="155"/>
      <c r="E18" s="155"/>
      <c r="F18" s="155"/>
      <c r="G18" s="155"/>
      <c r="H18" s="155"/>
      <c r="I18" s="155"/>
      <c r="J18" s="155"/>
      <c r="K18" s="155"/>
    </row>
    <row r="19" spans="1:11" x14ac:dyDescent="0.3">
      <c r="A19" s="155"/>
      <c r="B19" s="155"/>
      <c r="C19" s="155"/>
      <c r="D19" s="155"/>
      <c r="E19" s="155"/>
      <c r="F19" s="155"/>
      <c r="G19" s="155" t="s">
        <v>567</v>
      </c>
      <c r="H19" s="155"/>
      <c r="I19" s="155"/>
      <c r="J19" s="155"/>
      <c r="K19" s="155"/>
    </row>
    <row r="20" spans="1:11" x14ac:dyDescent="0.3">
      <c r="A20" s="155">
        <v>1</v>
      </c>
      <c r="B20" s="155" t="s">
        <v>568</v>
      </c>
      <c r="C20" s="155"/>
      <c r="D20" s="155"/>
      <c r="E20" s="155"/>
      <c r="F20" s="155"/>
      <c r="G20" s="155"/>
      <c r="H20" s="155"/>
      <c r="I20" s="155"/>
      <c r="J20" s="155"/>
      <c r="K20" s="155"/>
    </row>
    <row r="21" spans="1:11" x14ac:dyDescent="0.3">
      <c r="A21" s="155"/>
      <c r="B21" s="155"/>
      <c r="C21" s="114" t="s">
        <v>467</v>
      </c>
      <c r="D21" s="114"/>
      <c r="E21" s="155"/>
      <c r="F21" s="155"/>
      <c r="G21" s="155"/>
      <c r="H21" s="155"/>
      <c r="I21" s="155"/>
      <c r="J21" s="155"/>
      <c r="K21" s="155"/>
    </row>
    <row r="22" spans="1:11" x14ac:dyDescent="0.3">
      <c r="A22" s="155"/>
      <c r="B22" s="115" t="s">
        <v>111</v>
      </c>
      <c r="C22" s="116" t="str">
        <f>VLOOKUP(B7,B5:E15,4,0)</f>
        <v>Data Scientist</v>
      </c>
      <c r="D22" s="155"/>
      <c r="E22" s="155"/>
      <c r="F22" s="155"/>
      <c r="G22" s="155"/>
      <c r="H22" s="155"/>
      <c r="I22" s="155"/>
      <c r="J22" s="155"/>
      <c r="K22" s="155"/>
    </row>
    <row r="23" spans="1:11" x14ac:dyDescent="0.3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</row>
    <row r="24" spans="1:11" x14ac:dyDescent="0.3">
      <c r="A24" s="155">
        <v>2</v>
      </c>
      <c r="B24" s="155" t="s">
        <v>569</v>
      </c>
      <c r="C24" s="155"/>
      <c r="D24" s="155"/>
      <c r="E24" s="155"/>
      <c r="F24" s="155"/>
      <c r="G24" s="155"/>
      <c r="H24" s="155"/>
      <c r="I24" s="155"/>
      <c r="J24" s="155"/>
      <c r="K24" s="155"/>
    </row>
    <row r="25" spans="1:11" x14ac:dyDescent="0.3">
      <c r="A25" s="155"/>
      <c r="B25" s="155"/>
      <c r="C25" s="114" t="s">
        <v>467</v>
      </c>
      <c r="D25" s="114"/>
      <c r="E25" s="155"/>
      <c r="F25" s="155"/>
      <c r="G25" s="155"/>
      <c r="H25" s="155"/>
      <c r="I25" s="155"/>
      <c r="J25" s="155"/>
      <c r="K25" s="155"/>
    </row>
    <row r="26" spans="1:11" x14ac:dyDescent="0.3">
      <c r="A26" s="155"/>
      <c r="B26" s="115" t="s">
        <v>111</v>
      </c>
      <c r="C26" s="116">
        <f>VLOOKUP(B14,B5:E15,2,0)</f>
        <v>45</v>
      </c>
      <c r="D26" s="155"/>
      <c r="E26" s="155"/>
      <c r="F26" s="155"/>
      <c r="G26" s="155"/>
      <c r="H26" s="155"/>
      <c r="I26" s="155"/>
      <c r="J26" s="155"/>
      <c r="K26" s="155"/>
    </row>
    <row r="27" spans="1:11" x14ac:dyDescent="0.3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</row>
    <row r="28" spans="1:11" x14ac:dyDescent="0.3">
      <c r="A28" s="155">
        <v>2</v>
      </c>
      <c r="B28" s="155" t="s">
        <v>570</v>
      </c>
      <c r="C28" s="155"/>
      <c r="D28" s="155"/>
      <c r="E28" s="155"/>
      <c r="F28" s="155"/>
      <c r="G28" s="155"/>
      <c r="H28" s="155"/>
      <c r="I28" s="155"/>
      <c r="J28" s="155"/>
      <c r="K28" s="155"/>
    </row>
    <row r="29" spans="1:11" x14ac:dyDescent="0.3">
      <c r="A29" s="155"/>
      <c r="B29" s="155"/>
      <c r="C29" s="114" t="s">
        <v>467</v>
      </c>
      <c r="D29" s="114"/>
      <c r="E29" s="155"/>
      <c r="F29" s="155"/>
      <c r="G29" s="155"/>
      <c r="H29" s="155"/>
      <c r="I29" s="155"/>
      <c r="J29" s="155"/>
      <c r="K29" s="155"/>
    </row>
    <row r="30" spans="1:11" x14ac:dyDescent="0.3">
      <c r="A30" s="155"/>
      <c r="B30" s="115" t="s">
        <v>111</v>
      </c>
      <c r="C30" s="116" t="str">
        <f>VLOOKUP(B8,B5:E15,4,0)</f>
        <v>Accountant</v>
      </c>
      <c r="D30" s="155"/>
      <c r="E30" s="155"/>
      <c r="F30" s="155"/>
      <c r="G30" s="155"/>
      <c r="H30" s="155"/>
      <c r="I30" s="155"/>
      <c r="J30" s="155"/>
      <c r="K30" s="155"/>
    </row>
    <row r="31" spans="1:11" x14ac:dyDescent="0.3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</row>
    <row r="32" spans="1:11" x14ac:dyDescent="0.3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</row>
    <row r="33" spans="1:11" x14ac:dyDescent="0.3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26390-2B53-44EC-84E9-5EDCDA5176AA}">
  <dimension ref="B1:M22"/>
  <sheetViews>
    <sheetView workbookViewId="0">
      <selection activeCell="D16" sqref="D16"/>
    </sheetView>
  </sheetViews>
  <sheetFormatPr defaultRowHeight="14.4" x14ac:dyDescent="0.3"/>
  <sheetData>
    <row r="1" spans="2:13" ht="15" thickBot="1" x14ac:dyDescent="0.35">
      <c r="B1" s="11"/>
      <c r="C1" s="11"/>
      <c r="D1" s="11"/>
      <c r="E1" s="117"/>
      <c r="F1" s="11"/>
      <c r="G1" s="11"/>
      <c r="H1" s="11"/>
    </row>
    <row r="2" spans="2:13" ht="15" thickBot="1" x14ac:dyDescent="0.35">
      <c r="B2" s="118" t="s">
        <v>470</v>
      </c>
      <c r="C2" s="119" t="s">
        <v>1</v>
      </c>
      <c r="D2" s="119" t="s">
        <v>471</v>
      </c>
      <c r="E2" s="119" t="s">
        <v>472</v>
      </c>
      <c r="F2" s="119" t="s">
        <v>473</v>
      </c>
      <c r="G2" s="119" t="s">
        <v>474</v>
      </c>
      <c r="H2" s="120" t="s">
        <v>475</v>
      </c>
    </row>
    <row r="3" spans="2:13" x14ac:dyDescent="0.3">
      <c r="B3" s="121">
        <v>11280</v>
      </c>
      <c r="C3" s="122" t="s">
        <v>476</v>
      </c>
      <c r="D3" s="122" t="s">
        <v>477</v>
      </c>
      <c r="E3" s="123">
        <v>15</v>
      </c>
      <c r="F3" s="122">
        <v>30000</v>
      </c>
      <c r="G3" s="122">
        <v>450000</v>
      </c>
      <c r="H3" s="124">
        <f>IF(E3&gt;20,G3*0.8,G3)</f>
        <v>450000</v>
      </c>
      <c r="L3" s="73" t="s">
        <v>478</v>
      </c>
      <c r="M3" s="73" t="s">
        <v>479</v>
      </c>
    </row>
    <row r="4" spans="2:13" x14ac:dyDescent="0.3">
      <c r="B4" s="125">
        <v>11281</v>
      </c>
      <c r="C4" s="126" t="s">
        <v>480</v>
      </c>
      <c r="D4" s="126" t="s">
        <v>481</v>
      </c>
      <c r="E4" s="127">
        <v>10</v>
      </c>
      <c r="F4" s="126">
        <v>25000</v>
      </c>
      <c r="G4" s="126">
        <v>250000</v>
      </c>
      <c r="H4" s="128">
        <f t="shared" ref="H4:H20" si="0">IF(E4&gt;20,G4*0.8,G4)</f>
        <v>250000</v>
      </c>
      <c r="L4" s="73" t="s">
        <v>482</v>
      </c>
      <c r="M4" s="73" t="s">
        <v>483</v>
      </c>
    </row>
    <row r="5" spans="2:13" x14ac:dyDescent="0.3">
      <c r="B5" s="125">
        <v>11282</v>
      </c>
      <c r="C5" s="126" t="s">
        <v>484</v>
      </c>
      <c r="D5" s="126" t="s">
        <v>485</v>
      </c>
      <c r="E5" s="127">
        <v>150</v>
      </c>
      <c r="F5" s="126">
        <v>28000</v>
      </c>
      <c r="G5" s="126">
        <v>4200000</v>
      </c>
      <c r="H5" s="128">
        <f t="shared" si="0"/>
        <v>3360000</v>
      </c>
      <c r="L5" s="73" t="s">
        <v>486</v>
      </c>
      <c r="M5" s="73" t="s">
        <v>487</v>
      </c>
    </row>
    <row r="6" spans="2:13" x14ac:dyDescent="0.3">
      <c r="B6" s="125">
        <v>11283</v>
      </c>
      <c r="C6" s="126" t="s">
        <v>488</v>
      </c>
      <c r="D6" s="126" t="s">
        <v>489</v>
      </c>
      <c r="E6" s="127">
        <v>12</v>
      </c>
      <c r="F6" s="126">
        <v>30000</v>
      </c>
      <c r="G6" s="126">
        <v>360000</v>
      </c>
      <c r="H6" s="128">
        <f t="shared" si="0"/>
        <v>360000</v>
      </c>
      <c r="L6" s="73" t="s">
        <v>490</v>
      </c>
      <c r="M6" s="73" t="s">
        <v>491</v>
      </c>
    </row>
    <row r="7" spans="2:13" x14ac:dyDescent="0.3">
      <c r="B7" s="125">
        <v>11284</v>
      </c>
      <c r="C7" s="126" t="s">
        <v>492</v>
      </c>
      <c r="D7" s="126" t="s">
        <v>493</v>
      </c>
      <c r="E7" s="127">
        <v>20</v>
      </c>
      <c r="F7" s="126">
        <v>30000</v>
      </c>
      <c r="G7" s="126">
        <v>600000</v>
      </c>
      <c r="H7" s="128">
        <f t="shared" si="0"/>
        <v>600000</v>
      </c>
      <c r="L7" s="73" t="s">
        <v>494</v>
      </c>
      <c r="M7" s="73" t="s">
        <v>495</v>
      </c>
    </row>
    <row r="8" spans="2:13" x14ac:dyDescent="0.3">
      <c r="B8" s="125">
        <v>11285</v>
      </c>
      <c r="C8" s="126" t="s">
        <v>496</v>
      </c>
      <c r="D8" s="126" t="s">
        <v>497</v>
      </c>
      <c r="E8" s="127">
        <v>20</v>
      </c>
      <c r="F8" s="126">
        <v>26000</v>
      </c>
      <c r="G8" s="126">
        <v>520000</v>
      </c>
      <c r="H8" s="128">
        <f t="shared" si="0"/>
        <v>520000</v>
      </c>
    </row>
    <row r="9" spans="2:13" x14ac:dyDescent="0.3">
      <c r="B9" s="125">
        <v>11286</v>
      </c>
      <c r="C9" s="126" t="s">
        <v>498</v>
      </c>
      <c r="D9" s="126" t="s">
        <v>499</v>
      </c>
      <c r="E9" s="127">
        <v>2</v>
      </c>
      <c r="F9" s="126">
        <v>30000</v>
      </c>
      <c r="G9" s="126">
        <v>60000</v>
      </c>
      <c r="H9" s="128">
        <f t="shared" si="0"/>
        <v>60000</v>
      </c>
    </row>
    <row r="10" spans="2:13" x14ac:dyDescent="0.3">
      <c r="B10" s="125">
        <v>11287</v>
      </c>
      <c r="C10" s="126" t="s">
        <v>500</v>
      </c>
      <c r="D10" s="126" t="s">
        <v>501</v>
      </c>
      <c r="E10" s="127">
        <v>5</v>
      </c>
      <c r="F10" s="126">
        <v>35000</v>
      </c>
      <c r="G10" s="126">
        <v>175000</v>
      </c>
      <c r="H10" s="128">
        <f t="shared" si="0"/>
        <v>175000</v>
      </c>
    </row>
    <row r="11" spans="2:13" x14ac:dyDescent="0.3">
      <c r="B11" s="125">
        <v>11288</v>
      </c>
      <c r="C11" s="126" t="s">
        <v>502</v>
      </c>
      <c r="D11" s="126" t="s">
        <v>503</v>
      </c>
      <c r="E11" s="127">
        <v>80</v>
      </c>
      <c r="F11" s="126">
        <v>30000</v>
      </c>
      <c r="G11" s="126">
        <v>2400000</v>
      </c>
      <c r="H11" s="128">
        <f t="shared" si="0"/>
        <v>1920000</v>
      </c>
    </row>
    <row r="12" spans="2:13" x14ac:dyDescent="0.3">
      <c r="B12" s="125">
        <v>11289</v>
      </c>
      <c r="C12" s="126" t="s">
        <v>504</v>
      </c>
      <c r="D12" s="126" t="s">
        <v>505</v>
      </c>
      <c r="E12" s="127">
        <v>100</v>
      </c>
      <c r="F12" s="126">
        <v>26000</v>
      </c>
      <c r="G12" s="126">
        <v>2600000</v>
      </c>
      <c r="H12" s="128">
        <f t="shared" si="0"/>
        <v>2080000</v>
      </c>
    </row>
    <row r="13" spans="2:13" x14ac:dyDescent="0.3">
      <c r="B13" s="125">
        <v>11290</v>
      </c>
      <c r="C13" s="126" t="s">
        <v>506</v>
      </c>
      <c r="D13" s="126" t="s">
        <v>507</v>
      </c>
      <c r="E13" s="127">
        <v>20</v>
      </c>
      <c r="F13" s="126">
        <v>35000</v>
      </c>
      <c r="G13" s="126">
        <v>700000</v>
      </c>
      <c r="H13" s="128">
        <f t="shared" si="0"/>
        <v>700000</v>
      </c>
    </row>
    <row r="14" spans="2:13" x14ac:dyDescent="0.3">
      <c r="B14" s="125">
        <v>11291</v>
      </c>
      <c r="C14" s="126" t="s">
        <v>508</v>
      </c>
      <c r="D14" s="126" t="s">
        <v>509</v>
      </c>
      <c r="E14" s="127">
        <v>25</v>
      </c>
      <c r="F14" s="126">
        <v>40000</v>
      </c>
      <c r="G14" s="126">
        <v>1000000</v>
      </c>
      <c r="H14" s="128">
        <f t="shared" si="0"/>
        <v>800000</v>
      </c>
    </row>
    <row r="15" spans="2:13" x14ac:dyDescent="0.3">
      <c r="B15" s="125">
        <v>11292</v>
      </c>
      <c r="C15" s="126" t="s">
        <v>510</v>
      </c>
      <c r="D15" s="126" t="s">
        <v>485</v>
      </c>
      <c r="E15" s="127">
        <v>10</v>
      </c>
      <c r="F15" s="126">
        <v>28000</v>
      </c>
      <c r="G15" s="126">
        <v>280000</v>
      </c>
      <c r="H15" s="128">
        <f t="shared" si="0"/>
        <v>280000</v>
      </c>
    </row>
    <row r="16" spans="2:13" x14ac:dyDescent="0.3">
      <c r="B16" s="125">
        <v>11293</v>
      </c>
      <c r="C16" s="126" t="s">
        <v>511</v>
      </c>
      <c r="D16" s="126" t="s">
        <v>489</v>
      </c>
      <c r="E16" s="127">
        <v>10</v>
      </c>
      <c r="F16" s="126">
        <v>30000</v>
      </c>
      <c r="G16" s="126">
        <v>300000</v>
      </c>
      <c r="H16" s="128">
        <f t="shared" si="0"/>
        <v>300000</v>
      </c>
    </row>
    <row r="17" spans="2:8" x14ac:dyDescent="0.3">
      <c r="B17" s="125">
        <v>11294</v>
      </c>
      <c r="C17" s="126" t="s">
        <v>512</v>
      </c>
      <c r="D17" s="126" t="s">
        <v>493</v>
      </c>
      <c r="E17" s="127">
        <v>5</v>
      </c>
      <c r="F17" s="126">
        <v>30000</v>
      </c>
      <c r="G17" s="126">
        <v>150000</v>
      </c>
      <c r="H17" s="128">
        <f t="shared" si="0"/>
        <v>150000</v>
      </c>
    </row>
    <row r="18" spans="2:8" x14ac:dyDescent="0.3">
      <c r="B18" s="125">
        <v>11295</v>
      </c>
      <c r="C18" s="126" t="s">
        <v>513</v>
      </c>
      <c r="D18" s="126" t="s">
        <v>497</v>
      </c>
      <c r="E18" s="127">
        <v>180</v>
      </c>
      <c r="F18" s="126">
        <v>26000</v>
      </c>
      <c r="G18" s="126">
        <v>4680000</v>
      </c>
      <c r="H18" s="128">
        <f t="shared" si="0"/>
        <v>3744000</v>
      </c>
    </row>
    <row r="19" spans="2:8" x14ac:dyDescent="0.3">
      <c r="B19" s="125">
        <v>11296</v>
      </c>
      <c r="C19" s="126" t="s">
        <v>514</v>
      </c>
      <c r="D19" s="126" t="s">
        <v>499</v>
      </c>
      <c r="E19" s="127">
        <v>5</v>
      </c>
      <c r="F19" s="126">
        <v>30000</v>
      </c>
      <c r="G19" s="126">
        <v>150000</v>
      </c>
      <c r="H19" s="128">
        <f t="shared" si="0"/>
        <v>150000</v>
      </c>
    </row>
    <row r="20" spans="2:8" ht="15" thickBot="1" x14ac:dyDescent="0.35">
      <c r="B20" s="129">
        <v>11297</v>
      </c>
      <c r="C20" s="130" t="s">
        <v>515</v>
      </c>
      <c r="D20" s="130" t="s">
        <v>501</v>
      </c>
      <c r="E20" s="131">
        <v>250</v>
      </c>
      <c r="F20" s="130">
        <v>35000</v>
      </c>
      <c r="G20" s="130">
        <v>8750000</v>
      </c>
      <c r="H20" s="132">
        <f t="shared" si="0"/>
        <v>7000000</v>
      </c>
    </row>
    <row r="21" spans="2:8" x14ac:dyDescent="0.3">
      <c r="B21" s="11"/>
      <c r="C21" s="11"/>
      <c r="D21" s="11"/>
      <c r="E21" s="117"/>
      <c r="F21" s="11"/>
      <c r="G21" s="11"/>
      <c r="H21" s="11"/>
    </row>
    <row r="22" spans="2:8" x14ac:dyDescent="0.3">
      <c r="B22" s="11"/>
      <c r="C22" s="11"/>
      <c r="D22" s="11"/>
      <c r="E22" s="117"/>
      <c r="F22" s="11"/>
      <c r="G22" s="11"/>
      <c r="H22" s="1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ECBE-B1D6-43B9-AE16-0632343193AD}">
  <dimension ref="A1:I25"/>
  <sheetViews>
    <sheetView topLeftCell="A7" workbookViewId="0">
      <selection activeCell="H26" sqref="H26"/>
    </sheetView>
  </sheetViews>
  <sheetFormatPr defaultRowHeight="14.4" x14ac:dyDescent="0.3"/>
  <cols>
    <col min="3" max="3" width="15.21875" customWidth="1"/>
    <col min="4" max="4" width="13.21875" customWidth="1"/>
  </cols>
  <sheetData>
    <row r="1" spans="1:9" x14ac:dyDescent="0.3">
      <c r="B1" s="105"/>
    </row>
    <row r="2" spans="1:9" x14ac:dyDescent="0.3">
      <c r="A2" s="105"/>
      <c r="B2" s="133" t="s">
        <v>470</v>
      </c>
      <c r="C2" s="133" t="s">
        <v>1</v>
      </c>
      <c r="D2" s="133" t="s">
        <v>471</v>
      </c>
      <c r="E2" s="133" t="s">
        <v>472</v>
      </c>
      <c r="F2" s="133" t="s">
        <v>473</v>
      </c>
      <c r="G2" s="133" t="s">
        <v>474</v>
      </c>
      <c r="H2" s="133" t="s">
        <v>475</v>
      </c>
      <c r="I2" s="105"/>
    </row>
    <row r="3" spans="1:9" x14ac:dyDescent="0.3">
      <c r="B3" s="82">
        <v>11280</v>
      </c>
      <c r="C3" s="73" t="s">
        <v>476</v>
      </c>
      <c r="D3" s="73" t="s">
        <v>477</v>
      </c>
      <c r="E3" s="73">
        <v>15</v>
      </c>
      <c r="F3" s="73">
        <v>30000</v>
      </c>
      <c r="G3" s="73">
        <v>450000</v>
      </c>
      <c r="H3" s="124">
        <f>IF(E3&gt;20,G3*0.8,G3)</f>
        <v>450000</v>
      </c>
    </row>
    <row r="4" spans="1:9" x14ac:dyDescent="0.3">
      <c r="B4" s="82">
        <v>11281</v>
      </c>
      <c r="C4" s="73" t="s">
        <v>480</v>
      </c>
      <c r="D4" s="73" t="s">
        <v>481</v>
      </c>
      <c r="E4" s="73">
        <v>10</v>
      </c>
      <c r="F4" s="73">
        <v>25000</v>
      </c>
      <c r="G4" s="73">
        <v>250000</v>
      </c>
      <c r="H4" s="128">
        <f t="shared" ref="H4:H20" si="0">IF(E4&gt;20,G4*0.8,G4)</f>
        <v>250000</v>
      </c>
    </row>
    <row r="5" spans="1:9" x14ac:dyDescent="0.3">
      <c r="B5" s="82">
        <v>11282</v>
      </c>
      <c r="C5" s="73" t="s">
        <v>484</v>
      </c>
      <c r="D5" s="73" t="s">
        <v>485</v>
      </c>
      <c r="E5" s="73">
        <v>150</v>
      </c>
      <c r="F5" s="73">
        <v>28000</v>
      </c>
      <c r="G5" s="73">
        <v>4200000</v>
      </c>
      <c r="H5" s="128">
        <f t="shared" si="0"/>
        <v>3360000</v>
      </c>
    </row>
    <row r="6" spans="1:9" x14ac:dyDescent="0.3">
      <c r="B6" s="82">
        <v>11283</v>
      </c>
      <c r="C6" s="73" t="s">
        <v>488</v>
      </c>
      <c r="D6" s="73" t="s">
        <v>489</v>
      </c>
      <c r="E6" s="73">
        <v>12</v>
      </c>
      <c r="F6" s="73">
        <v>30000</v>
      </c>
      <c r="G6" s="73">
        <v>360000</v>
      </c>
      <c r="H6" s="128">
        <f t="shared" si="0"/>
        <v>360000</v>
      </c>
    </row>
    <row r="7" spans="1:9" x14ac:dyDescent="0.3">
      <c r="B7" s="82">
        <v>11284</v>
      </c>
      <c r="C7" s="73" t="s">
        <v>492</v>
      </c>
      <c r="D7" s="73" t="s">
        <v>493</v>
      </c>
      <c r="E7" s="73">
        <v>20</v>
      </c>
      <c r="F7" s="73">
        <v>30000</v>
      </c>
      <c r="G7" s="73">
        <v>600000</v>
      </c>
      <c r="H7" s="128">
        <f t="shared" si="0"/>
        <v>600000</v>
      </c>
    </row>
    <row r="8" spans="1:9" x14ac:dyDescent="0.3">
      <c r="B8" s="82">
        <v>11285</v>
      </c>
      <c r="C8" s="73" t="s">
        <v>496</v>
      </c>
      <c r="D8" s="73" t="s">
        <v>497</v>
      </c>
      <c r="E8" s="73">
        <v>20</v>
      </c>
      <c r="F8" s="73">
        <v>26000</v>
      </c>
      <c r="G8" s="73">
        <v>520000</v>
      </c>
      <c r="H8" s="128">
        <f t="shared" si="0"/>
        <v>520000</v>
      </c>
    </row>
    <row r="9" spans="1:9" x14ac:dyDescent="0.3">
      <c r="B9" s="82">
        <v>11286</v>
      </c>
      <c r="C9" s="73" t="s">
        <v>498</v>
      </c>
      <c r="D9" s="73" t="s">
        <v>499</v>
      </c>
      <c r="E9" s="73">
        <v>2</v>
      </c>
      <c r="F9" s="73">
        <v>30000</v>
      </c>
      <c r="G9" s="73">
        <v>60000</v>
      </c>
      <c r="H9" s="128">
        <f t="shared" si="0"/>
        <v>60000</v>
      </c>
    </row>
    <row r="10" spans="1:9" x14ac:dyDescent="0.3">
      <c r="B10" s="82">
        <v>11287</v>
      </c>
      <c r="C10" s="73" t="s">
        <v>500</v>
      </c>
      <c r="D10" s="73" t="s">
        <v>501</v>
      </c>
      <c r="E10" s="73">
        <v>5</v>
      </c>
      <c r="F10" s="73">
        <v>35000</v>
      </c>
      <c r="G10" s="73">
        <v>175000</v>
      </c>
      <c r="H10" s="128">
        <f t="shared" si="0"/>
        <v>175000</v>
      </c>
    </row>
    <row r="11" spans="1:9" x14ac:dyDescent="0.3">
      <c r="B11" s="82">
        <v>11288</v>
      </c>
      <c r="C11" s="73" t="s">
        <v>502</v>
      </c>
      <c r="D11" s="73" t="s">
        <v>503</v>
      </c>
      <c r="E11" s="73">
        <v>80</v>
      </c>
      <c r="F11" s="73">
        <v>30000</v>
      </c>
      <c r="G11" s="73">
        <v>2400000</v>
      </c>
      <c r="H11" s="128">
        <f t="shared" si="0"/>
        <v>1920000</v>
      </c>
    </row>
    <row r="12" spans="1:9" x14ac:dyDescent="0.3">
      <c r="B12" s="82">
        <v>11289</v>
      </c>
      <c r="C12" s="73" t="s">
        <v>504</v>
      </c>
      <c r="D12" s="73" t="s">
        <v>505</v>
      </c>
      <c r="E12" s="73">
        <v>100</v>
      </c>
      <c r="F12" s="73">
        <v>26000</v>
      </c>
      <c r="G12" s="73">
        <v>2600000</v>
      </c>
      <c r="H12" s="128">
        <f t="shared" si="0"/>
        <v>2080000</v>
      </c>
    </row>
    <row r="13" spans="1:9" x14ac:dyDescent="0.3">
      <c r="B13" s="82">
        <v>11290</v>
      </c>
      <c r="C13" s="73" t="s">
        <v>506</v>
      </c>
      <c r="D13" s="73" t="s">
        <v>507</v>
      </c>
      <c r="E13" s="73">
        <v>20</v>
      </c>
      <c r="F13" s="73">
        <v>35000</v>
      </c>
      <c r="G13" s="73">
        <v>700000</v>
      </c>
      <c r="H13" s="128">
        <f t="shared" si="0"/>
        <v>700000</v>
      </c>
    </row>
    <row r="14" spans="1:9" x14ac:dyDescent="0.3">
      <c r="B14" s="82">
        <v>11291</v>
      </c>
      <c r="C14" s="73" t="s">
        <v>508</v>
      </c>
      <c r="D14" s="73" t="s">
        <v>509</v>
      </c>
      <c r="E14" s="73">
        <v>25</v>
      </c>
      <c r="F14" s="73">
        <v>40000</v>
      </c>
      <c r="G14" s="73">
        <v>1000000</v>
      </c>
      <c r="H14" s="128">
        <f t="shared" si="0"/>
        <v>800000</v>
      </c>
    </row>
    <row r="15" spans="1:9" x14ac:dyDescent="0.3">
      <c r="B15" s="82">
        <v>11292</v>
      </c>
      <c r="C15" s="73" t="s">
        <v>510</v>
      </c>
      <c r="D15" s="73" t="s">
        <v>485</v>
      </c>
      <c r="E15" s="73">
        <v>10</v>
      </c>
      <c r="F15" s="73">
        <v>28000</v>
      </c>
      <c r="G15" s="73">
        <v>280000</v>
      </c>
      <c r="H15" s="128">
        <f t="shared" si="0"/>
        <v>280000</v>
      </c>
    </row>
    <row r="16" spans="1:9" x14ac:dyDescent="0.3">
      <c r="B16" s="82">
        <v>11293</v>
      </c>
      <c r="C16" s="73" t="s">
        <v>511</v>
      </c>
      <c r="D16" s="73" t="s">
        <v>489</v>
      </c>
      <c r="E16" s="73">
        <v>10</v>
      </c>
      <c r="F16" s="73">
        <v>30000</v>
      </c>
      <c r="G16" s="73">
        <v>300000</v>
      </c>
      <c r="H16" s="128">
        <f t="shared" si="0"/>
        <v>300000</v>
      </c>
    </row>
    <row r="17" spans="2:8" x14ac:dyDescent="0.3">
      <c r="B17" s="82">
        <v>11294</v>
      </c>
      <c r="C17" s="73" t="s">
        <v>512</v>
      </c>
      <c r="D17" s="73" t="s">
        <v>493</v>
      </c>
      <c r="E17" s="73">
        <v>5</v>
      </c>
      <c r="F17" s="73">
        <v>30000</v>
      </c>
      <c r="G17" s="73">
        <v>150000</v>
      </c>
      <c r="H17" s="128">
        <f t="shared" si="0"/>
        <v>150000</v>
      </c>
    </row>
    <row r="18" spans="2:8" x14ac:dyDescent="0.3">
      <c r="B18" s="82">
        <v>11295</v>
      </c>
      <c r="C18" s="73" t="s">
        <v>513</v>
      </c>
      <c r="D18" s="73" t="s">
        <v>497</v>
      </c>
      <c r="E18" s="73">
        <v>180</v>
      </c>
      <c r="F18" s="73">
        <v>26000</v>
      </c>
      <c r="G18" s="73">
        <v>4680000</v>
      </c>
      <c r="H18" s="128">
        <f t="shared" si="0"/>
        <v>3744000</v>
      </c>
    </row>
    <row r="19" spans="2:8" x14ac:dyDescent="0.3">
      <c r="B19" s="82">
        <v>11296</v>
      </c>
      <c r="C19" s="73" t="s">
        <v>514</v>
      </c>
      <c r="D19" s="73" t="s">
        <v>499</v>
      </c>
      <c r="E19" s="73">
        <v>5</v>
      </c>
      <c r="F19" s="73">
        <v>30000</v>
      </c>
      <c r="G19" s="73">
        <v>150000</v>
      </c>
      <c r="H19" s="128">
        <f t="shared" si="0"/>
        <v>150000</v>
      </c>
    </row>
    <row r="20" spans="2:8" ht="15" thickBot="1" x14ac:dyDescent="0.35">
      <c r="B20" s="82">
        <v>11297</v>
      </c>
      <c r="C20" s="73" t="s">
        <v>515</v>
      </c>
      <c r="D20" s="73" t="s">
        <v>501</v>
      </c>
      <c r="E20" s="73">
        <v>250</v>
      </c>
      <c r="F20" s="73">
        <v>35000</v>
      </c>
      <c r="G20" s="73">
        <v>8750000</v>
      </c>
      <c r="H20" s="132">
        <f t="shared" si="0"/>
        <v>7000000</v>
      </c>
    </row>
    <row r="21" spans="2:8" x14ac:dyDescent="0.3">
      <c r="B21" s="105"/>
    </row>
    <row r="22" spans="2:8" x14ac:dyDescent="0.3">
      <c r="B22" s="105"/>
    </row>
    <row r="23" spans="2:8" x14ac:dyDescent="0.3">
      <c r="B23" s="105"/>
    </row>
    <row r="24" spans="2:8" x14ac:dyDescent="0.3">
      <c r="B24" s="105"/>
    </row>
    <row r="25" spans="2:8" x14ac:dyDescent="0.3">
      <c r="B25" s="105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BCFD6-80D4-48F9-B834-88B4E3CEA000}">
  <dimension ref="A1:D20"/>
  <sheetViews>
    <sheetView workbookViewId="0">
      <selection activeCell="M17" sqref="M17"/>
    </sheetView>
  </sheetViews>
  <sheetFormatPr defaultRowHeight="14.4" x14ac:dyDescent="0.3"/>
  <cols>
    <col min="1" max="1" width="10.33203125" bestFit="1" customWidth="1"/>
    <col min="2" max="2" width="14.5546875" bestFit="1" customWidth="1"/>
    <col min="3" max="3" width="9" bestFit="1" customWidth="1"/>
  </cols>
  <sheetData>
    <row r="1" spans="1:4" ht="21" x14ac:dyDescent="0.4">
      <c r="A1" s="160" t="s">
        <v>571</v>
      </c>
      <c r="B1" s="160" t="s">
        <v>572</v>
      </c>
      <c r="C1" s="160">
        <v>50000</v>
      </c>
      <c r="D1" s="160">
        <v>30</v>
      </c>
    </row>
    <row r="2" spans="1:4" ht="21" x14ac:dyDescent="0.4">
      <c r="A2" s="160" t="s">
        <v>573</v>
      </c>
      <c r="B2" s="160" t="s">
        <v>574</v>
      </c>
      <c r="C2" s="160">
        <v>60000</v>
      </c>
      <c r="D2" s="160">
        <v>35</v>
      </c>
    </row>
    <row r="3" spans="1:4" ht="21" x14ac:dyDescent="0.4">
      <c r="A3" s="160" t="s">
        <v>575</v>
      </c>
      <c r="B3" s="160" t="s">
        <v>576</v>
      </c>
      <c r="C3" s="160">
        <v>75000</v>
      </c>
      <c r="D3" s="160">
        <v>40</v>
      </c>
    </row>
    <row r="4" spans="1:4" ht="21" x14ac:dyDescent="0.4">
      <c r="A4" s="160" t="s">
        <v>577</v>
      </c>
      <c r="B4" s="160" t="s">
        <v>578</v>
      </c>
      <c r="C4" s="160">
        <v>55000</v>
      </c>
      <c r="D4" s="160">
        <v>28</v>
      </c>
    </row>
    <row r="5" spans="1:4" ht="21" x14ac:dyDescent="0.4">
      <c r="A5" s="160" t="s">
        <v>579</v>
      </c>
      <c r="B5" s="160" t="s">
        <v>580</v>
      </c>
      <c r="C5" s="160">
        <v>80000</v>
      </c>
      <c r="D5" s="160">
        <v>45</v>
      </c>
    </row>
    <row r="6" spans="1:4" ht="21" x14ac:dyDescent="0.4">
      <c r="A6" s="160" t="s">
        <v>581</v>
      </c>
      <c r="B6" s="160" t="s">
        <v>582</v>
      </c>
      <c r="C6" s="160">
        <v>65000</v>
      </c>
      <c r="D6" s="160">
        <v>33</v>
      </c>
    </row>
    <row r="7" spans="1:4" ht="21" x14ac:dyDescent="0.4">
      <c r="A7" s="160" t="s">
        <v>583</v>
      </c>
      <c r="B7" s="160" t="s">
        <v>584</v>
      </c>
      <c r="C7" s="160">
        <v>70000</v>
      </c>
      <c r="D7" s="160">
        <v>38</v>
      </c>
    </row>
    <row r="8" spans="1:4" ht="21" x14ac:dyDescent="0.4">
      <c r="A8" s="160" t="s">
        <v>585</v>
      </c>
      <c r="B8" s="160" t="s">
        <v>586</v>
      </c>
      <c r="C8" s="160">
        <v>60000</v>
      </c>
      <c r="D8" s="160">
        <v>32</v>
      </c>
    </row>
    <row r="9" spans="1:4" ht="21" x14ac:dyDescent="0.4">
      <c r="A9" s="160" t="s">
        <v>587</v>
      </c>
      <c r="B9" s="160" t="s">
        <v>588</v>
      </c>
      <c r="C9" s="160">
        <v>85000</v>
      </c>
      <c r="D9" s="160">
        <v>42</v>
      </c>
    </row>
    <row r="10" spans="1:4" ht="21" x14ac:dyDescent="0.4">
      <c r="A10" s="160" t="s">
        <v>589</v>
      </c>
      <c r="B10" s="160" t="s">
        <v>590</v>
      </c>
      <c r="C10" s="160">
        <v>70000</v>
      </c>
      <c r="D10" s="160">
        <v>36</v>
      </c>
    </row>
    <row r="11" spans="1:4" ht="21" x14ac:dyDescent="0.4">
      <c r="A11" s="160" t="s">
        <v>591</v>
      </c>
      <c r="B11" s="160" t="s">
        <v>592</v>
      </c>
      <c r="C11" s="160">
        <v>60000</v>
      </c>
      <c r="D11" s="160">
        <v>31</v>
      </c>
    </row>
    <row r="12" spans="1:4" ht="21" x14ac:dyDescent="0.4">
      <c r="A12" s="160" t="s">
        <v>593</v>
      </c>
      <c r="B12" s="160" t="s">
        <v>594</v>
      </c>
      <c r="C12" s="160">
        <v>55000</v>
      </c>
      <c r="D12" s="160">
        <v>29</v>
      </c>
    </row>
    <row r="13" spans="1:4" ht="21" x14ac:dyDescent="0.4">
      <c r="A13" s="160" t="s">
        <v>595</v>
      </c>
      <c r="B13" s="160" t="s">
        <v>574</v>
      </c>
      <c r="C13" s="160">
        <v>90000</v>
      </c>
      <c r="D13" s="160">
        <v>48</v>
      </c>
    </row>
    <row r="14" spans="1:4" ht="21" x14ac:dyDescent="0.4">
      <c r="A14" s="160" t="s">
        <v>596</v>
      </c>
      <c r="B14" s="160" t="s">
        <v>597</v>
      </c>
      <c r="C14" s="160">
        <v>65000</v>
      </c>
      <c r="D14" s="160">
        <v>34</v>
      </c>
    </row>
    <row r="15" spans="1:4" ht="21" x14ac:dyDescent="0.4">
      <c r="A15" s="160" t="s">
        <v>598</v>
      </c>
      <c r="B15" s="160" t="s">
        <v>599</v>
      </c>
      <c r="C15" s="160">
        <v>75000</v>
      </c>
      <c r="D15" s="160">
        <v>39</v>
      </c>
    </row>
    <row r="16" spans="1:4" ht="21" x14ac:dyDescent="0.4">
      <c r="A16" s="160" t="s">
        <v>600</v>
      </c>
      <c r="B16" s="160" t="s">
        <v>601</v>
      </c>
      <c r="C16" s="160">
        <v>70000</v>
      </c>
      <c r="D16" s="160">
        <v>37</v>
      </c>
    </row>
    <row r="17" spans="1:4" ht="21" x14ac:dyDescent="0.4">
      <c r="A17" s="160" t="s">
        <v>602</v>
      </c>
      <c r="B17" s="160" t="s">
        <v>603</v>
      </c>
      <c r="C17" s="160">
        <v>80000</v>
      </c>
      <c r="D17" s="160">
        <v>41</v>
      </c>
    </row>
    <row r="18" spans="1:4" ht="21" x14ac:dyDescent="0.4">
      <c r="A18" s="160" t="s">
        <v>604</v>
      </c>
      <c r="B18" s="160" t="s">
        <v>605</v>
      </c>
      <c r="C18" s="160">
        <v>60000</v>
      </c>
      <c r="D18" s="160">
        <v>33</v>
      </c>
    </row>
    <row r="19" spans="1:4" ht="21" x14ac:dyDescent="0.4">
      <c r="A19" s="160" t="s">
        <v>606</v>
      </c>
      <c r="B19" s="160" t="s">
        <v>607</v>
      </c>
      <c r="C19" s="160">
        <v>70000</v>
      </c>
      <c r="D19" s="160">
        <v>38</v>
      </c>
    </row>
    <row r="20" spans="1:4" ht="21" x14ac:dyDescent="0.4">
      <c r="A20" s="160" t="s">
        <v>608</v>
      </c>
      <c r="B20" s="160" t="s">
        <v>609</v>
      </c>
      <c r="C20" s="160">
        <v>65000</v>
      </c>
      <c r="D20" s="160">
        <v>35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3A840-AF9F-4B4D-9411-012BBEE67AD5}">
  <dimension ref="A1:D20"/>
  <sheetViews>
    <sheetView workbookViewId="0">
      <selection activeCell="F4" sqref="F4"/>
    </sheetView>
  </sheetViews>
  <sheetFormatPr defaultRowHeight="14.4" x14ac:dyDescent="0.3"/>
  <cols>
    <col min="1" max="1" width="12.77734375" bestFit="1" customWidth="1"/>
    <col min="2" max="2" width="13.88671875" bestFit="1" customWidth="1"/>
    <col min="3" max="3" width="9" bestFit="1" customWidth="1"/>
  </cols>
  <sheetData>
    <row r="1" spans="1:4" ht="21" x14ac:dyDescent="0.4">
      <c r="A1" s="159" t="s">
        <v>610</v>
      </c>
      <c r="B1" s="159" t="s">
        <v>582</v>
      </c>
      <c r="C1" s="159">
        <v>50000</v>
      </c>
      <c r="D1" s="159">
        <v>30</v>
      </c>
    </row>
    <row r="2" spans="1:4" ht="21" x14ac:dyDescent="0.4">
      <c r="A2" s="159" t="s">
        <v>611</v>
      </c>
      <c r="B2" s="159" t="s">
        <v>612</v>
      </c>
      <c r="C2" s="159">
        <v>60000</v>
      </c>
      <c r="D2" s="159">
        <v>35</v>
      </c>
    </row>
    <row r="3" spans="1:4" ht="21" x14ac:dyDescent="0.4">
      <c r="A3" s="159" t="s">
        <v>613</v>
      </c>
      <c r="B3" s="159" t="s">
        <v>576</v>
      </c>
      <c r="C3" s="159">
        <v>75000</v>
      </c>
      <c r="D3" s="159">
        <v>40</v>
      </c>
    </row>
    <row r="4" spans="1:4" ht="21" x14ac:dyDescent="0.4">
      <c r="A4" s="159" t="s">
        <v>614</v>
      </c>
      <c r="B4" s="159" t="s">
        <v>615</v>
      </c>
      <c r="C4" s="159">
        <v>55000</v>
      </c>
      <c r="D4" s="159">
        <v>28</v>
      </c>
    </row>
    <row r="5" spans="1:4" ht="21" x14ac:dyDescent="0.4">
      <c r="A5" s="159" t="s">
        <v>585</v>
      </c>
      <c r="B5" s="159" t="s">
        <v>572</v>
      </c>
      <c r="C5" s="159">
        <v>80000</v>
      </c>
      <c r="D5" s="159">
        <v>45</v>
      </c>
    </row>
    <row r="6" spans="1:4" ht="21" x14ac:dyDescent="0.4">
      <c r="A6" s="159" t="s">
        <v>616</v>
      </c>
      <c r="B6" s="159" t="s">
        <v>586</v>
      </c>
      <c r="C6" s="159">
        <v>65000</v>
      </c>
      <c r="D6" s="159">
        <v>33</v>
      </c>
    </row>
    <row r="7" spans="1:4" ht="21" x14ac:dyDescent="0.4">
      <c r="A7" s="159" t="s">
        <v>617</v>
      </c>
      <c r="B7" s="159" t="s">
        <v>618</v>
      </c>
      <c r="C7" s="159">
        <v>70000</v>
      </c>
      <c r="D7" s="159">
        <v>38</v>
      </c>
    </row>
    <row r="8" spans="1:4" ht="21" x14ac:dyDescent="0.4">
      <c r="A8" s="159" t="s">
        <v>619</v>
      </c>
      <c r="B8" s="159" t="s">
        <v>592</v>
      </c>
      <c r="C8" s="159">
        <v>60000</v>
      </c>
      <c r="D8" s="159">
        <v>32</v>
      </c>
    </row>
    <row r="9" spans="1:4" ht="21" x14ac:dyDescent="0.4">
      <c r="A9" s="159" t="s">
        <v>620</v>
      </c>
      <c r="B9" s="159" t="s">
        <v>605</v>
      </c>
      <c r="C9" s="159">
        <v>85000</v>
      </c>
      <c r="D9" s="159">
        <v>42</v>
      </c>
    </row>
    <row r="10" spans="1:4" ht="21" x14ac:dyDescent="0.4">
      <c r="A10" s="159" t="s">
        <v>621</v>
      </c>
      <c r="B10" s="159" t="s">
        <v>622</v>
      </c>
      <c r="C10" s="159">
        <v>70000</v>
      </c>
      <c r="D10" s="159">
        <v>36</v>
      </c>
    </row>
    <row r="11" spans="1:4" ht="21" x14ac:dyDescent="0.4">
      <c r="A11" s="159" t="s">
        <v>623</v>
      </c>
      <c r="B11" s="159" t="s">
        <v>597</v>
      </c>
      <c r="C11" s="159">
        <v>60000</v>
      </c>
      <c r="D11" s="159">
        <v>31</v>
      </c>
    </row>
    <row r="12" spans="1:4" ht="21" x14ac:dyDescent="0.4">
      <c r="A12" s="159" t="s">
        <v>624</v>
      </c>
      <c r="B12" s="159" t="s">
        <v>584</v>
      </c>
      <c r="C12" s="159">
        <v>55000</v>
      </c>
      <c r="D12" s="159">
        <v>29</v>
      </c>
    </row>
    <row r="13" spans="1:4" ht="21" x14ac:dyDescent="0.4">
      <c r="A13" s="159" t="s">
        <v>625</v>
      </c>
      <c r="B13" s="159" t="s">
        <v>574</v>
      </c>
      <c r="C13" s="159">
        <v>90000</v>
      </c>
      <c r="D13" s="159">
        <v>48</v>
      </c>
    </row>
    <row r="14" spans="1:4" ht="21" x14ac:dyDescent="0.4">
      <c r="A14" s="159" t="s">
        <v>626</v>
      </c>
      <c r="B14" s="159" t="s">
        <v>580</v>
      </c>
      <c r="C14" s="159">
        <v>65000</v>
      </c>
      <c r="D14" s="159">
        <v>34</v>
      </c>
    </row>
    <row r="15" spans="1:4" ht="21" x14ac:dyDescent="0.4">
      <c r="A15" s="159" t="s">
        <v>627</v>
      </c>
      <c r="B15" s="159" t="s">
        <v>582</v>
      </c>
      <c r="C15" s="159">
        <v>75000</v>
      </c>
      <c r="D15" s="159">
        <v>39</v>
      </c>
    </row>
    <row r="16" spans="1:4" ht="21" x14ac:dyDescent="0.4">
      <c r="A16" s="159" t="s">
        <v>628</v>
      </c>
      <c r="B16" s="159" t="s">
        <v>576</v>
      </c>
      <c r="C16" s="159">
        <v>70000</v>
      </c>
      <c r="D16" s="159">
        <v>37</v>
      </c>
    </row>
    <row r="17" spans="1:4" ht="21" x14ac:dyDescent="0.4">
      <c r="A17" s="159" t="s">
        <v>629</v>
      </c>
      <c r="B17" s="159" t="s">
        <v>590</v>
      </c>
      <c r="C17" s="159">
        <v>80000</v>
      </c>
      <c r="D17" s="159">
        <v>41</v>
      </c>
    </row>
    <row r="18" spans="1:4" ht="21" x14ac:dyDescent="0.4">
      <c r="A18" s="159" t="s">
        <v>630</v>
      </c>
      <c r="B18" s="159" t="s">
        <v>631</v>
      </c>
      <c r="C18" s="159">
        <v>60000</v>
      </c>
      <c r="D18" s="159">
        <v>33</v>
      </c>
    </row>
    <row r="19" spans="1:4" ht="21" x14ac:dyDescent="0.4">
      <c r="A19" s="159" t="s">
        <v>632</v>
      </c>
      <c r="B19" s="159" t="s">
        <v>633</v>
      </c>
      <c r="C19" s="159">
        <v>70000</v>
      </c>
      <c r="D19" s="159">
        <v>38</v>
      </c>
    </row>
    <row r="20" spans="1:4" ht="21" x14ac:dyDescent="0.4">
      <c r="A20" s="159" t="s">
        <v>634</v>
      </c>
      <c r="B20" s="159" t="s">
        <v>605</v>
      </c>
      <c r="C20" s="159">
        <v>65000</v>
      </c>
      <c r="D20" s="159">
        <v>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1C945-38EE-4FE4-9CF2-99190C4C24CB}">
  <dimension ref="A1:E21"/>
  <sheetViews>
    <sheetView workbookViewId="0">
      <selection activeCell="I13" sqref="I13"/>
    </sheetView>
  </sheetViews>
  <sheetFormatPr defaultRowHeight="14.4" x14ac:dyDescent="0.3"/>
  <cols>
    <col min="1" max="1" width="10.33203125" bestFit="1" customWidth="1"/>
    <col min="2" max="3" width="14.5546875" bestFit="1" customWidth="1"/>
  </cols>
  <sheetData>
    <row r="1" spans="1:5" ht="21" x14ac:dyDescent="0.4">
      <c r="A1" s="165" t="s">
        <v>635</v>
      </c>
      <c r="B1" s="165" t="s">
        <v>636</v>
      </c>
      <c r="C1" s="165" t="s">
        <v>637</v>
      </c>
      <c r="D1" s="165" t="s">
        <v>107</v>
      </c>
      <c r="E1" s="165" t="s">
        <v>141</v>
      </c>
    </row>
    <row r="2" spans="1:5" ht="21" x14ac:dyDescent="0.4">
      <c r="A2" s="164">
        <v>1</v>
      </c>
      <c r="B2" s="161" t="s">
        <v>571</v>
      </c>
      <c r="C2" s="161" t="s">
        <v>572</v>
      </c>
      <c r="D2" s="161">
        <v>50000</v>
      </c>
      <c r="E2" s="161">
        <v>30</v>
      </c>
    </row>
    <row r="3" spans="1:5" ht="21" x14ac:dyDescent="0.4">
      <c r="A3" s="164">
        <v>2</v>
      </c>
      <c r="B3" s="161" t="s">
        <v>573</v>
      </c>
      <c r="C3" s="161" t="s">
        <v>574</v>
      </c>
      <c r="D3" s="161">
        <v>60000</v>
      </c>
      <c r="E3" s="161">
        <v>35</v>
      </c>
    </row>
    <row r="4" spans="1:5" ht="21" x14ac:dyDescent="0.4">
      <c r="A4" s="164">
        <v>3</v>
      </c>
      <c r="B4" s="161" t="s">
        <v>575</v>
      </c>
      <c r="C4" s="161" t="s">
        <v>576</v>
      </c>
      <c r="D4" s="161">
        <v>75000</v>
      </c>
      <c r="E4" s="161">
        <v>40</v>
      </c>
    </row>
    <row r="5" spans="1:5" ht="21" x14ac:dyDescent="0.4">
      <c r="A5" s="164">
        <v>4</v>
      </c>
      <c r="B5" s="161" t="s">
        <v>577</v>
      </c>
      <c r="C5" s="161" t="s">
        <v>578</v>
      </c>
      <c r="D5" s="161">
        <v>55000</v>
      </c>
      <c r="E5" s="161">
        <v>28</v>
      </c>
    </row>
    <row r="6" spans="1:5" ht="21" x14ac:dyDescent="0.4">
      <c r="A6" s="164">
        <v>5</v>
      </c>
      <c r="B6" s="161" t="s">
        <v>579</v>
      </c>
      <c r="C6" s="161" t="s">
        <v>580</v>
      </c>
      <c r="D6" s="161">
        <v>80000</v>
      </c>
      <c r="E6" s="161">
        <v>45</v>
      </c>
    </row>
    <row r="7" spans="1:5" ht="21" x14ac:dyDescent="0.4">
      <c r="A7" s="164">
        <v>6</v>
      </c>
      <c r="B7" s="161" t="s">
        <v>581</v>
      </c>
      <c r="C7" s="161" t="s">
        <v>582</v>
      </c>
      <c r="D7" s="161">
        <v>65000</v>
      </c>
      <c r="E7" s="161">
        <v>33</v>
      </c>
    </row>
    <row r="8" spans="1:5" ht="21" x14ac:dyDescent="0.4">
      <c r="A8" s="164">
        <v>7</v>
      </c>
      <c r="B8" s="161" t="s">
        <v>583</v>
      </c>
      <c r="C8" s="161" t="s">
        <v>584</v>
      </c>
      <c r="D8" s="161">
        <v>70000</v>
      </c>
      <c r="E8" s="161">
        <v>38</v>
      </c>
    </row>
    <row r="9" spans="1:5" ht="21" x14ac:dyDescent="0.4">
      <c r="A9" s="164">
        <v>8</v>
      </c>
      <c r="B9" s="161" t="s">
        <v>585</v>
      </c>
      <c r="C9" s="161" t="s">
        <v>586</v>
      </c>
      <c r="D9" s="161">
        <v>60000</v>
      </c>
      <c r="E9" s="161">
        <v>32</v>
      </c>
    </row>
    <row r="10" spans="1:5" ht="21" x14ac:dyDescent="0.4">
      <c r="A10" s="164">
        <v>9</v>
      </c>
      <c r="B10" s="161" t="s">
        <v>587</v>
      </c>
      <c r="C10" s="161" t="s">
        <v>588</v>
      </c>
      <c r="D10" s="161">
        <v>85000</v>
      </c>
      <c r="E10" s="161">
        <v>42</v>
      </c>
    </row>
    <row r="11" spans="1:5" ht="21" x14ac:dyDescent="0.4">
      <c r="A11" s="164">
        <v>10</v>
      </c>
      <c r="B11" s="161" t="s">
        <v>589</v>
      </c>
      <c r="C11" s="161" t="s">
        <v>590</v>
      </c>
      <c r="D11" s="161">
        <v>70000</v>
      </c>
      <c r="E11" s="161">
        <v>36</v>
      </c>
    </row>
    <row r="12" spans="1:5" ht="21" x14ac:dyDescent="0.4">
      <c r="A12" s="164">
        <v>11</v>
      </c>
      <c r="B12" s="161" t="s">
        <v>591</v>
      </c>
      <c r="C12" s="161" t="s">
        <v>592</v>
      </c>
      <c r="D12" s="161">
        <v>60000</v>
      </c>
      <c r="E12" s="161">
        <v>31</v>
      </c>
    </row>
    <row r="13" spans="1:5" ht="21" x14ac:dyDescent="0.4">
      <c r="A13" s="164">
        <v>12</v>
      </c>
      <c r="B13" s="161" t="s">
        <v>593</v>
      </c>
      <c r="C13" s="161" t="s">
        <v>594</v>
      </c>
      <c r="D13" s="161">
        <v>55000</v>
      </c>
      <c r="E13" s="161">
        <v>29</v>
      </c>
    </row>
    <row r="14" spans="1:5" ht="21" x14ac:dyDescent="0.4">
      <c r="A14" s="164">
        <v>13</v>
      </c>
      <c r="B14" s="161" t="s">
        <v>595</v>
      </c>
      <c r="C14" s="161" t="s">
        <v>574</v>
      </c>
      <c r="D14" s="161">
        <v>90000</v>
      </c>
      <c r="E14" s="161">
        <v>48</v>
      </c>
    </row>
    <row r="15" spans="1:5" ht="21" x14ac:dyDescent="0.4">
      <c r="A15" s="164">
        <v>14</v>
      </c>
      <c r="B15" s="161" t="s">
        <v>596</v>
      </c>
      <c r="C15" s="161" t="s">
        <v>597</v>
      </c>
      <c r="D15" s="161">
        <v>65000</v>
      </c>
      <c r="E15" s="161">
        <v>34</v>
      </c>
    </row>
    <row r="16" spans="1:5" ht="21" x14ac:dyDescent="0.4">
      <c r="A16" s="164">
        <v>15</v>
      </c>
      <c r="B16" s="161" t="s">
        <v>598</v>
      </c>
      <c r="C16" s="161" t="s">
        <v>599</v>
      </c>
      <c r="D16" s="161">
        <v>75000</v>
      </c>
      <c r="E16" s="161">
        <v>39</v>
      </c>
    </row>
    <row r="17" spans="1:5" ht="21" x14ac:dyDescent="0.4">
      <c r="A17" s="164">
        <v>16</v>
      </c>
      <c r="B17" s="161" t="s">
        <v>600</v>
      </c>
      <c r="C17" s="161" t="s">
        <v>601</v>
      </c>
      <c r="D17" s="161">
        <v>70000</v>
      </c>
      <c r="E17" s="161">
        <v>37</v>
      </c>
    </row>
    <row r="18" spans="1:5" ht="21" x14ac:dyDescent="0.4">
      <c r="A18" s="164">
        <v>17</v>
      </c>
      <c r="B18" s="161" t="s">
        <v>602</v>
      </c>
      <c r="C18" s="161" t="s">
        <v>603</v>
      </c>
      <c r="D18" s="161">
        <v>80000</v>
      </c>
      <c r="E18" s="161">
        <v>41</v>
      </c>
    </row>
    <row r="19" spans="1:5" ht="21" x14ac:dyDescent="0.4">
      <c r="A19" s="164">
        <v>18</v>
      </c>
      <c r="B19" s="161" t="s">
        <v>604</v>
      </c>
      <c r="C19" s="161" t="s">
        <v>605</v>
      </c>
      <c r="D19" s="161">
        <v>60000</v>
      </c>
      <c r="E19" s="161">
        <v>33</v>
      </c>
    </row>
    <row r="20" spans="1:5" ht="21" x14ac:dyDescent="0.4">
      <c r="A20" s="164">
        <v>19</v>
      </c>
      <c r="B20" s="161" t="s">
        <v>606</v>
      </c>
      <c r="C20" s="161" t="s">
        <v>607</v>
      </c>
      <c r="D20" s="161">
        <v>70000</v>
      </c>
      <c r="E20" s="161">
        <v>38</v>
      </c>
    </row>
    <row r="21" spans="1:5" ht="21" x14ac:dyDescent="0.4">
      <c r="A21" s="164">
        <v>20</v>
      </c>
      <c r="B21" s="161" t="s">
        <v>608</v>
      </c>
      <c r="C21" s="161" t="s">
        <v>609</v>
      </c>
      <c r="D21" s="161">
        <v>65000</v>
      </c>
      <c r="E21" s="161">
        <v>35</v>
      </c>
    </row>
  </sheetData>
  <conditionalFormatting sqref="D2:D21">
    <cfRule type="cellIs" dxfId="7" priority="1" operator="greaterThan">
      <formula>70000</formula>
    </cfRule>
    <cfRule type="cellIs" dxfId="6" priority="2" operator="greaterThan">
      <formula>80000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C69FA-E98B-46A4-82B2-BE2F4D1182ED}">
  <dimension ref="A1:E21"/>
  <sheetViews>
    <sheetView workbookViewId="0">
      <selection activeCell="K6" sqref="K6"/>
    </sheetView>
  </sheetViews>
  <sheetFormatPr defaultRowHeight="14.4" x14ac:dyDescent="0.3"/>
  <cols>
    <col min="1" max="1" width="7.5546875" customWidth="1"/>
    <col min="2" max="2" width="13.88671875" bestFit="1" customWidth="1"/>
  </cols>
  <sheetData>
    <row r="1" spans="1:5" ht="21" x14ac:dyDescent="0.4">
      <c r="A1" s="163" t="s">
        <v>635</v>
      </c>
      <c r="B1" s="163" t="s">
        <v>636</v>
      </c>
      <c r="C1" s="163" t="s">
        <v>637</v>
      </c>
      <c r="D1" s="163" t="s">
        <v>107</v>
      </c>
      <c r="E1" s="163" t="s">
        <v>141</v>
      </c>
    </row>
    <row r="2" spans="1:5" ht="21" x14ac:dyDescent="0.4">
      <c r="A2" s="164">
        <v>1</v>
      </c>
      <c r="B2" s="161" t="s">
        <v>610</v>
      </c>
      <c r="C2" s="161" t="s">
        <v>582</v>
      </c>
      <c r="D2" s="161">
        <v>50000</v>
      </c>
      <c r="E2" s="161">
        <v>30</v>
      </c>
    </row>
    <row r="3" spans="1:5" ht="21" x14ac:dyDescent="0.4">
      <c r="A3" s="164">
        <v>2</v>
      </c>
      <c r="B3" s="161" t="s">
        <v>611</v>
      </c>
      <c r="C3" s="161" t="s">
        <v>612</v>
      </c>
      <c r="D3" s="161">
        <v>60000</v>
      </c>
      <c r="E3" s="161">
        <v>35</v>
      </c>
    </row>
    <row r="4" spans="1:5" ht="21" x14ac:dyDescent="0.4">
      <c r="A4" s="164">
        <v>3</v>
      </c>
      <c r="B4" s="161" t="s">
        <v>613</v>
      </c>
      <c r="C4" s="161" t="s">
        <v>576</v>
      </c>
      <c r="D4" s="161">
        <v>75000</v>
      </c>
      <c r="E4" s="161">
        <v>40</v>
      </c>
    </row>
    <row r="5" spans="1:5" ht="21" x14ac:dyDescent="0.4">
      <c r="A5" s="164">
        <v>4</v>
      </c>
      <c r="B5" s="161" t="s">
        <v>614</v>
      </c>
      <c r="C5" s="161" t="s">
        <v>615</v>
      </c>
      <c r="D5" s="161">
        <v>55000</v>
      </c>
      <c r="E5" s="161">
        <v>28</v>
      </c>
    </row>
    <row r="6" spans="1:5" ht="21" x14ac:dyDescent="0.4">
      <c r="A6" s="164">
        <v>5</v>
      </c>
      <c r="B6" s="161" t="s">
        <v>585</v>
      </c>
      <c r="C6" s="161" t="s">
        <v>572</v>
      </c>
      <c r="D6" s="161">
        <v>80000</v>
      </c>
      <c r="E6" s="161">
        <v>45</v>
      </c>
    </row>
    <row r="7" spans="1:5" ht="21" x14ac:dyDescent="0.4">
      <c r="A7" s="164">
        <v>6</v>
      </c>
      <c r="B7" s="161" t="s">
        <v>616</v>
      </c>
      <c r="C7" s="161" t="s">
        <v>586</v>
      </c>
      <c r="D7" s="161">
        <v>65000</v>
      </c>
      <c r="E7" s="161">
        <v>33</v>
      </c>
    </row>
    <row r="8" spans="1:5" ht="21" x14ac:dyDescent="0.4">
      <c r="A8" s="164">
        <v>7</v>
      </c>
      <c r="B8" s="161" t="s">
        <v>617</v>
      </c>
      <c r="C8" s="161" t="s">
        <v>618</v>
      </c>
      <c r="D8" s="161">
        <v>70000</v>
      </c>
      <c r="E8" s="161">
        <v>38</v>
      </c>
    </row>
    <row r="9" spans="1:5" ht="21" x14ac:dyDescent="0.4">
      <c r="A9" s="164">
        <v>8</v>
      </c>
      <c r="B9" s="161" t="s">
        <v>619</v>
      </c>
      <c r="C9" s="161" t="s">
        <v>592</v>
      </c>
      <c r="D9" s="161">
        <v>60000</v>
      </c>
      <c r="E9" s="161">
        <v>32</v>
      </c>
    </row>
    <row r="10" spans="1:5" ht="21" x14ac:dyDescent="0.4">
      <c r="A10" s="164">
        <v>9</v>
      </c>
      <c r="B10" s="161" t="s">
        <v>620</v>
      </c>
      <c r="C10" s="161" t="s">
        <v>605</v>
      </c>
      <c r="D10" s="161">
        <v>85000</v>
      </c>
      <c r="E10" s="161">
        <v>42</v>
      </c>
    </row>
    <row r="11" spans="1:5" ht="21" x14ac:dyDescent="0.4">
      <c r="A11" s="164">
        <v>10</v>
      </c>
      <c r="B11" s="161" t="s">
        <v>621</v>
      </c>
      <c r="C11" s="161" t="s">
        <v>622</v>
      </c>
      <c r="D11" s="161">
        <v>70000</v>
      </c>
      <c r="E11" s="161">
        <v>36</v>
      </c>
    </row>
    <row r="12" spans="1:5" ht="21" x14ac:dyDescent="0.4">
      <c r="A12" s="164">
        <v>11</v>
      </c>
      <c r="B12" s="161" t="s">
        <v>623</v>
      </c>
      <c r="C12" s="161" t="s">
        <v>597</v>
      </c>
      <c r="D12" s="161">
        <v>60000</v>
      </c>
      <c r="E12" s="161">
        <v>31</v>
      </c>
    </row>
    <row r="13" spans="1:5" ht="21" x14ac:dyDescent="0.4">
      <c r="A13" s="164">
        <v>12</v>
      </c>
      <c r="B13" s="161" t="s">
        <v>624</v>
      </c>
      <c r="C13" s="161" t="s">
        <v>584</v>
      </c>
      <c r="D13" s="161">
        <v>55000</v>
      </c>
      <c r="E13" s="161">
        <v>29</v>
      </c>
    </row>
    <row r="14" spans="1:5" ht="21" x14ac:dyDescent="0.4">
      <c r="A14" s="164">
        <v>13</v>
      </c>
      <c r="B14" s="161" t="s">
        <v>625</v>
      </c>
      <c r="C14" s="161" t="s">
        <v>574</v>
      </c>
      <c r="D14" s="161">
        <v>90000</v>
      </c>
      <c r="E14" s="161">
        <v>48</v>
      </c>
    </row>
    <row r="15" spans="1:5" ht="21" x14ac:dyDescent="0.4">
      <c r="A15" s="164">
        <v>14</v>
      </c>
      <c r="B15" s="161" t="s">
        <v>626</v>
      </c>
      <c r="C15" s="161" t="s">
        <v>580</v>
      </c>
      <c r="D15" s="161">
        <v>65000</v>
      </c>
      <c r="E15" s="161">
        <v>34</v>
      </c>
    </row>
    <row r="16" spans="1:5" ht="21" x14ac:dyDescent="0.4">
      <c r="A16" s="164">
        <v>15</v>
      </c>
      <c r="B16" s="161" t="s">
        <v>627</v>
      </c>
      <c r="C16" s="161" t="s">
        <v>582</v>
      </c>
      <c r="D16" s="161">
        <v>75000</v>
      </c>
      <c r="E16" s="161">
        <v>39</v>
      </c>
    </row>
    <row r="17" spans="1:5" ht="21" x14ac:dyDescent="0.4">
      <c r="A17" s="164">
        <v>16</v>
      </c>
      <c r="B17" s="161" t="s">
        <v>628</v>
      </c>
      <c r="C17" s="161" t="s">
        <v>576</v>
      </c>
      <c r="D17" s="161">
        <v>70000</v>
      </c>
      <c r="E17" s="161">
        <v>37</v>
      </c>
    </row>
    <row r="18" spans="1:5" ht="21" x14ac:dyDescent="0.4">
      <c r="A18" s="164">
        <v>17</v>
      </c>
      <c r="B18" s="161" t="s">
        <v>629</v>
      </c>
      <c r="C18" s="161" t="s">
        <v>590</v>
      </c>
      <c r="D18" s="161">
        <v>80000</v>
      </c>
      <c r="E18" s="161">
        <v>41</v>
      </c>
    </row>
    <row r="19" spans="1:5" ht="21" x14ac:dyDescent="0.4">
      <c r="A19" s="164">
        <v>18</v>
      </c>
      <c r="B19" s="161" t="s">
        <v>630</v>
      </c>
      <c r="C19" s="161" t="s">
        <v>631</v>
      </c>
      <c r="D19" s="161">
        <v>60000</v>
      </c>
      <c r="E19" s="161">
        <v>33</v>
      </c>
    </row>
    <row r="20" spans="1:5" ht="21" x14ac:dyDescent="0.4">
      <c r="A20" s="164">
        <v>19</v>
      </c>
      <c r="B20" s="161" t="s">
        <v>632</v>
      </c>
      <c r="C20" s="161" t="s">
        <v>633</v>
      </c>
      <c r="D20" s="161">
        <v>70000</v>
      </c>
      <c r="E20" s="161">
        <v>38</v>
      </c>
    </row>
    <row r="21" spans="1:5" ht="21" x14ac:dyDescent="0.4">
      <c r="A21" s="164">
        <v>20</v>
      </c>
      <c r="B21" s="161" t="s">
        <v>634</v>
      </c>
      <c r="C21" s="161" t="s">
        <v>605</v>
      </c>
      <c r="D21" s="161">
        <v>65000</v>
      </c>
      <c r="E21" s="161">
        <v>35</v>
      </c>
    </row>
  </sheetData>
  <conditionalFormatting sqref="D2:D21">
    <cfRule type="cellIs" dxfId="5" priority="1" operator="greaterThan">
      <formula>70000</formula>
    </cfRule>
    <cfRule type="cellIs" dxfId="4" priority="2" operator="greaterThan">
      <formula>80000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DDCA9-547D-46A4-8023-5489F5A9DE8A}">
  <dimension ref="A1:E21"/>
  <sheetViews>
    <sheetView topLeftCell="A4" workbookViewId="0">
      <selection sqref="A1:E21"/>
    </sheetView>
  </sheetViews>
  <sheetFormatPr defaultRowHeight="14.4" x14ac:dyDescent="0.3"/>
  <cols>
    <col min="1" max="1" width="6.6640625" bestFit="1" customWidth="1"/>
    <col min="2" max="2" width="15.5546875" bestFit="1" customWidth="1"/>
    <col min="3" max="3" width="14.5546875" bestFit="1" customWidth="1"/>
    <col min="4" max="4" width="9" bestFit="1" customWidth="1"/>
  </cols>
  <sheetData>
    <row r="1" spans="1:5" ht="21" x14ac:dyDescent="0.4">
      <c r="A1" s="165" t="s">
        <v>635</v>
      </c>
      <c r="B1" s="165" t="s">
        <v>636</v>
      </c>
      <c r="C1" s="165" t="s">
        <v>637</v>
      </c>
      <c r="D1" s="165" t="s">
        <v>107</v>
      </c>
      <c r="E1" s="165" t="s">
        <v>141</v>
      </c>
    </row>
    <row r="2" spans="1:5" ht="21" x14ac:dyDescent="0.4">
      <c r="A2" s="164">
        <v>1</v>
      </c>
      <c r="B2" s="161" t="s">
        <v>571</v>
      </c>
      <c r="C2" s="161" t="s">
        <v>572</v>
      </c>
      <c r="D2" s="161">
        <v>50000</v>
      </c>
      <c r="E2" s="161">
        <v>30</v>
      </c>
    </row>
    <row r="3" spans="1:5" ht="21" x14ac:dyDescent="0.4">
      <c r="A3" s="164">
        <v>2</v>
      </c>
      <c r="B3" s="161" t="s">
        <v>573</v>
      </c>
      <c r="C3" s="161" t="s">
        <v>574</v>
      </c>
      <c r="D3" s="161">
        <v>60000</v>
      </c>
      <c r="E3" s="161">
        <v>35</v>
      </c>
    </row>
    <row r="4" spans="1:5" ht="21" x14ac:dyDescent="0.4">
      <c r="A4" s="164">
        <v>3</v>
      </c>
      <c r="B4" s="161" t="s">
        <v>575</v>
      </c>
      <c r="C4" s="161" t="s">
        <v>576</v>
      </c>
      <c r="D4" s="161">
        <v>75000</v>
      </c>
      <c r="E4" s="161">
        <v>40</v>
      </c>
    </row>
    <row r="5" spans="1:5" ht="21" x14ac:dyDescent="0.4">
      <c r="A5" s="164">
        <v>4</v>
      </c>
      <c r="B5" s="161" t="s">
        <v>577</v>
      </c>
      <c r="C5" s="161" t="s">
        <v>578</v>
      </c>
      <c r="D5" s="161">
        <v>55000</v>
      </c>
      <c r="E5" s="161">
        <v>28</v>
      </c>
    </row>
    <row r="6" spans="1:5" ht="21" x14ac:dyDescent="0.4">
      <c r="A6" s="164">
        <v>5</v>
      </c>
      <c r="B6" s="161" t="s">
        <v>579</v>
      </c>
      <c r="C6" s="161" t="s">
        <v>580</v>
      </c>
      <c r="D6" s="161">
        <v>80000</v>
      </c>
      <c r="E6" s="161">
        <v>45</v>
      </c>
    </row>
    <row r="7" spans="1:5" ht="21" x14ac:dyDescent="0.4">
      <c r="A7" s="164">
        <v>6</v>
      </c>
      <c r="B7" s="161" t="s">
        <v>581</v>
      </c>
      <c r="C7" s="161" t="s">
        <v>582</v>
      </c>
      <c r="D7" s="161">
        <v>65000</v>
      </c>
      <c r="E7" s="161">
        <v>33</v>
      </c>
    </row>
    <row r="8" spans="1:5" ht="21" x14ac:dyDescent="0.4">
      <c r="A8" s="164">
        <v>7</v>
      </c>
      <c r="B8" s="161" t="s">
        <v>583</v>
      </c>
      <c r="C8" s="161" t="s">
        <v>584</v>
      </c>
      <c r="D8" s="161">
        <v>70000</v>
      </c>
      <c r="E8" s="161">
        <v>38</v>
      </c>
    </row>
    <row r="9" spans="1:5" ht="21" x14ac:dyDescent="0.4">
      <c r="A9" s="164">
        <v>8</v>
      </c>
      <c r="B9" s="161" t="s">
        <v>585</v>
      </c>
      <c r="C9" s="161" t="s">
        <v>586</v>
      </c>
      <c r="D9" s="161">
        <v>60000</v>
      </c>
      <c r="E9" s="161">
        <v>32</v>
      </c>
    </row>
    <row r="10" spans="1:5" ht="21" x14ac:dyDescent="0.4">
      <c r="A10" s="164">
        <v>9</v>
      </c>
      <c r="B10" s="161" t="s">
        <v>587</v>
      </c>
      <c r="C10" s="161" t="s">
        <v>588</v>
      </c>
      <c r="D10" s="161">
        <v>85000</v>
      </c>
      <c r="E10" s="161">
        <v>42</v>
      </c>
    </row>
    <row r="11" spans="1:5" ht="21" x14ac:dyDescent="0.4">
      <c r="A11" s="164">
        <v>10</v>
      </c>
      <c r="B11" s="161" t="s">
        <v>589</v>
      </c>
      <c r="C11" s="161" t="s">
        <v>590</v>
      </c>
      <c r="D11" s="161">
        <v>70000</v>
      </c>
      <c r="E11" s="161">
        <v>36</v>
      </c>
    </row>
    <row r="12" spans="1:5" ht="21" x14ac:dyDescent="0.4">
      <c r="A12" s="164">
        <v>11</v>
      </c>
      <c r="B12" s="161" t="s">
        <v>591</v>
      </c>
      <c r="C12" s="161" t="s">
        <v>592</v>
      </c>
      <c r="D12" s="161">
        <v>60000</v>
      </c>
      <c r="E12" s="161">
        <v>31</v>
      </c>
    </row>
    <row r="13" spans="1:5" ht="21" x14ac:dyDescent="0.4">
      <c r="A13" s="164">
        <v>12</v>
      </c>
      <c r="B13" s="161" t="s">
        <v>593</v>
      </c>
      <c r="C13" s="161" t="s">
        <v>594</v>
      </c>
      <c r="D13" s="161">
        <v>55000</v>
      </c>
      <c r="E13" s="161">
        <v>29</v>
      </c>
    </row>
    <row r="14" spans="1:5" ht="21" x14ac:dyDescent="0.4">
      <c r="A14" s="164">
        <v>13</v>
      </c>
      <c r="B14" s="161" t="s">
        <v>595</v>
      </c>
      <c r="C14" s="161" t="s">
        <v>574</v>
      </c>
      <c r="D14" s="161">
        <v>90000</v>
      </c>
      <c r="E14" s="161">
        <v>48</v>
      </c>
    </row>
    <row r="15" spans="1:5" ht="21" x14ac:dyDescent="0.4">
      <c r="A15" s="164">
        <v>14</v>
      </c>
      <c r="B15" s="161" t="s">
        <v>596</v>
      </c>
      <c r="C15" s="161" t="s">
        <v>597</v>
      </c>
      <c r="D15" s="161">
        <v>65000</v>
      </c>
      <c r="E15" s="161">
        <v>34</v>
      </c>
    </row>
    <row r="16" spans="1:5" ht="21" x14ac:dyDescent="0.4">
      <c r="A16" s="164">
        <v>15</v>
      </c>
      <c r="B16" s="161" t="s">
        <v>598</v>
      </c>
      <c r="C16" s="161" t="s">
        <v>599</v>
      </c>
      <c r="D16" s="161">
        <v>75000</v>
      </c>
      <c r="E16" s="161">
        <v>39</v>
      </c>
    </row>
    <row r="17" spans="1:5" ht="21" x14ac:dyDescent="0.4">
      <c r="A17" s="164">
        <v>16</v>
      </c>
      <c r="B17" s="161" t="s">
        <v>600</v>
      </c>
      <c r="C17" s="161" t="s">
        <v>601</v>
      </c>
      <c r="D17" s="161">
        <v>70000</v>
      </c>
      <c r="E17" s="161">
        <v>37</v>
      </c>
    </row>
    <row r="18" spans="1:5" ht="21" x14ac:dyDescent="0.4">
      <c r="A18" s="164">
        <v>17</v>
      </c>
      <c r="B18" s="161" t="s">
        <v>602</v>
      </c>
      <c r="C18" s="161" t="s">
        <v>603</v>
      </c>
      <c r="D18" s="161">
        <v>80000</v>
      </c>
      <c r="E18" s="161">
        <v>41</v>
      </c>
    </row>
    <row r="19" spans="1:5" ht="21" x14ac:dyDescent="0.4">
      <c r="A19" s="164">
        <v>18</v>
      </c>
      <c r="B19" s="161" t="s">
        <v>604</v>
      </c>
      <c r="C19" s="161" t="s">
        <v>605</v>
      </c>
      <c r="D19" s="161">
        <v>60000</v>
      </c>
      <c r="E19" s="161">
        <v>33</v>
      </c>
    </row>
    <row r="20" spans="1:5" ht="21" x14ac:dyDescent="0.4">
      <c r="A20" s="164">
        <v>19</v>
      </c>
      <c r="B20" s="161" t="s">
        <v>606</v>
      </c>
      <c r="C20" s="161" t="s">
        <v>607</v>
      </c>
      <c r="D20" s="161">
        <v>70000</v>
      </c>
      <c r="E20" s="161">
        <v>38</v>
      </c>
    </row>
    <row r="21" spans="1:5" ht="21" x14ac:dyDescent="0.4">
      <c r="A21" s="164">
        <v>20</v>
      </c>
      <c r="B21" s="161" t="s">
        <v>608</v>
      </c>
      <c r="C21" s="161" t="s">
        <v>609</v>
      </c>
      <c r="D21" s="161">
        <v>65000</v>
      </c>
      <c r="E21" s="161">
        <v>35</v>
      </c>
    </row>
  </sheetData>
  <conditionalFormatting sqref="D2:D21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667A3-6547-49D9-B039-6C678ADF674A}">
  <dimension ref="A1:E22"/>
  <sheetViews>
    <sheetView workbookViewId="0">
      <selection activeCell="K18" sqref="K18"/>
    </sheetView>
  </sheetViews>
  <sheetFormatPr defaultRowHeight="14.4" x14ac:dyDescent="0.3"/>
  <cols>
    <col min="2" max="2" width="15.5546875" bestFit="1" customWidth="1"/>
    <col min="3" max="3" width="14.33203125" bestFit="1" customWidth="1"/>
    <col min="4" max="4" width="9" bestFit="1" customWidth="1"/>
  </cols>
  <sheetData>
    <row r="1" spans="1:5" ht="21" x14ac:dyDescent="0.4">
      <c r="A1" s="163" t="s">
        <v>635</v>
      </c>
      <c r="B1" s="163" t="s">
        <v>636</v>
      </c>
      <c r="C1" s="163" t="s">
        <v>637</v>
      </c>
      <c r="D1" s="163" t="s">
        <v>107</v>
      </c>
      <c r="E1" s="163" t="s">
        <v>141</v>
      </c>
    </row>
    <row r="2" spans="1:5" ht="21" x14ac:dyDescent="0.4">
      <c r="A2" s="164">
        <v>1</v>
      </c>
      <c r="B2" s="161" t="s">
        <v>610</v>
      </c>
      <c r="C2" s="161" t="s">
        <v>582</v>
      </c>
      <c r="D2" s="161">
        <v>50000</v>
      </c>
      <c r="E2" s="161">
        <v>30</v>
      </c>
    </row>
    <row r="3" spans="1:5" ht="21" x14ac:dyDescent="0.4">
      <c r="A3" s="164">
        <v>2</v>
      </c>
      <c r="B3" s="161" t="s">
        <v>611</v>
      </c>
      <c r="C3" s="161" t="s">
        <v>612</v>
      </c>
      <c r="D3" s="161">
        <v>60000</v>
      </c>
      <c r="E3" s="161">
        <v>35</v>
      </c>
    </row>
    <row r="4" spans="1:5" ht="21" x14ac:dyDescent="0.4">
      <c r="A4" s="164">
        <v>3</v>
      </c>
      <c r="B4" s="161" t="s">
        <v>613</v>
      </c>
      <c r="C4" s="161" t="s">
        <v>576</v>
      </c>
      <c r="D4" s="161">
        <v>75000</v>
      </c>
      <c r="E4" s="161">
        <v>40</v>
      </c>
    </row>
    <row r="5" spans="1:5" ht="21" x14ac:dyDescent="0.4">
      <c r="A5" s="164">
        <v>4</v>
      </c>
      <c r="B5" s="161" t="s">
        <v>614</v>
      </c>
      <c r="C5" s="161" t="s">
        <v>615</v>
      </c>
      <c r="D5" s="161">
        <v>55000</v>
      </c>
      <c r="E5" s="161">
        <v>28</v>
      </c>
    </row>
    <row r="6" spans="1:5" ht="21" x14ac:dyDescent="0.4">
      <c r="A6" s="164">
        <v>5</v>
      </c>
      <c r="B6" s="161" t="s">
        <v>585</v>
      </c>
      <c r="C6" s="161" t="s">
        <v>572</v>
      </c>
      <c r="D6" s="161">
        <v>80000</v>
      </c>
      <c r="E6" s="161">
        <v>45</v>
      </c>
    </row>
    <row r="7" spans="1:5" ht="21" x14ac:dyDescent="0.4">
      <c r="A7" s="164">
        <v>6</v>
      </c>
      <c r="B7" s="161" t="s">
        <v>616</v>
      </c>
      <c r="C7" s="161" t="s">
        <v>586</v>
      </c>
      <c r="D7" s="161">
        <v>65000</v>
      </c>
      <c r="E7" s="161">
        <v>33</v>
      </c>
    </row>
    <row r="8" spans="1:5" ht="21" x14ac:dyDescent="0.4">
      <c r="A8" s="164">
        <v>7</v>
      </c>
      <c r="B8" s="161" t="s">
        <v>617</v>
      </c>
      <c r="C8" s="161" t="s">
        <v>618</v>
      </c>
      <c r="D8" s="161">
        <v>70000</v>
      </c>
      <c r="E8" s="161">
        <v>38</v>
      </c>
    </row>
    <row r="9" spans="1:5" ht="21" x14ac:dyDescent="0.4">
      <c r="A9" s="164">
        <v>8</v>
      </c>
      <c r="B9" s="161" t="s">
        <v>619</v>
      </c>
      <c r="C9" s="161" t="s">
        <v>592</v>
      </c>
      <c r="D9" s="161">
        <v>60000</v>
      </c>
      <c r="E9" s="161">
        <v>32</v>
      </c>
    </row>
    <row r="10" spans="1:5" ht="21" x14ac:dyDescent="0.4">
      <c r="A10" s="164">
        <v>9</v>
      </c>
      <c r="B10" s="161" t="s">
        <v>620</v>
      </c>
      <c r="C10" s="161" t="s">
        <v>605</v>
      </c>
      <c r="D10" s="161">
        <v>85000</v>
      </c>
      <c r="E10" s="161">
        <v>42</v>
      </c>
    </row>
    <row r="11" spans="1:5" ht="21" x14ac:dyDescent="0.4">
      <c r="A11" s="164">
        <v>10</v>
      </c>
      <c r="B11" s="161" t="s">
        <v>621</v>
      </c>
      <c r="C11" s="161" t="s">
        <v>622</v>
      </c>
      <c r="D11" s="161">
        <v>70000</v>
      </c>
      <c r="E11" s="161">
        <v>36</v>
      </c>
    </row>
    <row r="12" spans="1:5" ht="21" x14ac:dyDescent="0.4">
      <c r="A12" s="164">
        <v>11</v>
      </c>
      <c r="B12" s="161" t="s">
        <v>623</v>
      </c>
      <c r="C12" s="161" t="s">
        <v>597</v>
      </c>
      <c r="D12" s="161">
        <v>60000</v>
      </c>
      <c r="E12" s="161">
        <v>31</v>
      </c>
    </row>
    <row r="13" spans="1:5" ht="21" x14ac:dyDescent="0.4">
      <c r="A13" s="164">
        <v>12</v>
      </c>
      <c r="B13" s="161" t="s">
        <v>624</v>
      </c>
      <c r="C13" s="161" t="s">
        <v>584</v>
      </c>
      <c r="D13" s="161">
        <v>55000</v>
      </c>
      <c r="E13" s="161">
        <v>29</v>
      </c>
    </row>
    <row r="14" spans="1:5" ht="21" x14ac:dyDescent="0.4">
      <c r="A14" s="164">
        <v>13</v>
      </c>
      <c r="B14" s="161" t="s">
        <v>625</v>
      </c>
      <c r="C14" s="161" t="s">
        <v>574</v>
      </c>
      <c r="D14" s="161">
        <v>90000</v>
      </c>
      <c r="E14" s="161">
        <v>48</v>
      </c>
    </row>
    <row r="15" spans="1:5" ht="21" x14ac:dyDescent="0.4">
      <c r="A15" s="164">
        <v>14</v>
      </c>
      <c r="B15" s="161" t="s">
        <v>626</v>
      </c>
      <c r="C15" s="161" t="s">
        <v>580</v>
      </c>
      <c r="D15" s="161">
        <v>65000</v>
      </c>
      <c r="E15" s="161">
        <v>34</v>
      </c>
    </row>
    <row r="16" spans="1:5" ht="21" x14ac:dyDescent="0.4">
      <c r="A16" s="164">
        <v>15</v>
      </c>
      <c r="B16" s="161" t="s">
        <v>627</v>
      </c>
      <c r="C16" s="161" t="s">
        <v>582</v>
      </c>
      <c r="D16" s="161">
        <v>75000</v>
      </c>
      <c r="E16" s="161">
        <v>39</v>
      </c>
    </row>
    <row r="17" spans="1:5" ht="21" x14ac:dyDescent="0.4">
      <c r="A17" s="164">
        <v>16</v>
      </c>
      <c r="B17" s="161" t="s">
        <v>628</v>
      </c>
      <c r="C17" s="161" t="s">
        <v>576</v>
      </c>
      <c r="D17" s="161">
        <v>70000</v>
      </c>
      <c r="E17" s="161">
        <v>37</v>
      </c>
    </row>
    <row r="18" spans="1:5" ht="21" x14ac:dyDescent="0.4">
      <c r="A18" s="164">
        <v>17</v>
      </c>
      <c r="B18" s="161" t="s">
        <v>629</v>
      </c>
      <c r="C18" s="161" t="s">
        <v>590</v>
      </c>
      <c r="D18" s="161">
        <v>80000</v>
      </c>
      <c r="E18" s="161">
        <v>41</v>
      </c>
    </row>
    <row r="19" spans="1:5" ht="21" x14ac:dyDescent="0.4">
      <c r="A19" s="164">
        <v>18</v>
      </c>
      <c r="B19" s="161" t="s">
        <v>630</v>
      </c>
      <c r="C19" s="161" t="s">
        <v>631</v>
      </c>
      <c r="D19" s="161">
        <v>60000</v>
      </c>
      <c r="E19" s="161">
        <v>33</v>
      </c>
    </row>
    <row r="20" spans="1:5" ht="21" x14ac:dyDescent="0.4">
      <c r="A20" s="164">
        <v>19</v>
      </c>
      <c r="B20" s="161" t="s">
        <v>632</v>
      </c>
      <c r="C20" s="161" t="s">
        <v>633</v>
      </c>
      <c r="D20" s="161">
        <v>70000</v>
      </c>
      <c r="E20" s="161">
        <v>38</v>
      </c>
    </row>
    <row r="21" spans="1:5" ht="21" x14ac:dyDescent="0.4">
      <c r="A21" s="164">
        <v>20</v>
      </c>
      <c r="B21" s="161" t="s">
        <v>634</v>
      </c>
      <c r="C21" s="161" t="s">
        <v>605</v>
      </c>
      <c r="D21" s="161">
        <v>65000</v>
      </c>
      <c r="E21" s="161">
        <v>35</v>
      </c>
    </row>
    <row r="22" spans="1:5" ht="21" x14ac:dyDescent="0.4">
      <c r="A22" s="162"/>
      <c r="B22" s="162"/>
      <c r="C22" s="162"/>
      <c r="D22" s="162"/>
      <c r="E22" s="162"/>
    </row>
  </sheetData>
  <conditionalFormatting sqref="D2:D21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AVERAGE 1</vt:lpstr>
      <vt:lpstr>AVERAGE 3</vt:lpstr>
      <vt:lpstr>COUNT 1</vt:lpstr>
      <vt:lpstr>COUNT 2</vt:lpstr>
      <vt:lpstr>COUNT 3</vt:lpstr>
      <vt:lpstr>HLOOKUP</vt:lpstr>
      <vt:lpstr>IF 1</vt:lpstr>
      <vt:lpstr>IF 2</vt:lpstr>
      <vt:lpstr>IF 3</vt:lpstr>
      <vt:lpstr>IF 4</vt:lpstr>
      <vt:lpstr>MATH 1</vt:lpstr>
      <vt:lpstr>MAX MIN 1</vt:lpstr>
      <vt:lpstr>MAX MIN 2</vt:lpstr>
      <vt:lpstr>MAX MIN 3</vt:lpstr>
      <vt:lpstr>NESTED IF 1</vt:lpstr>
      <vt:lpstr>SUM 1</vt:lpstr>
      <vt:lpstr>SUM 2</vt:lpstr>
      <vt:lpstr>SUM 3</vt:lpstr>
      <vt:lpstr>SUMIF 1</vt:lpstr>
      <vt:lpstr>SUMIF 2</vt:lpstr>
      <vt:lpstr>VLOOKUP - Approximate Match</vt:lpstr>
      <vt:lpstr>VLOOKUP 1 (1)</vt:lpstr>
      <vt:lpstr>VLOOKUP 2a</vt:lpstr>
      <vt:lpstr>VBA 1</vt:lpstr>
      <vt:lpstr>VBA 1 (2)</vt:lpstr>
      <vt:lpstr>Lec Macros 1.1 . </vt:lpstr>
      <vt:lpstr>Lec Macros 1.1 (2)</vt:lpstr>
      <vt:lpstr>Lec Macros 1.2.</vt:lpstr>
      <vt:lpstr>Lec Macros 1.2.2</vt:lpstr>
      <vt:lpstr>Lec Macros 1.2.t-1</vt:lpstr>
      <vt:lpstr>Lec Macros 1.2.t-2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Gajjar</dc:creator>
  <cp:lastModifiedBy>Shruti Gajjar</cp:lastModifiedBy>
  <dcterms:created xsi:type="dcterms:W3CDTF">2015-06-05T18:17:20Z</dcterms:created>
  <dcterms:modified xsi:type="dcterms:W3CDTF">2024-07-22T03:15:56Z</dcterms:modified>
</cp:coreProperties>
</file>