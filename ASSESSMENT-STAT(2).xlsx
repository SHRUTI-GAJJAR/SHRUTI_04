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4eec18b25c347ea2/Desktop/TOPS_TECHNOLOGY/ASSESSMENT/STAT(2)/"/>
    </mc:Choice>
  </mc:AlternateContent>
  <xr:revisionPtr revIDLastSave="343" documentId="11_F25DC773A252ABDACC1048EE811E51FE5ADE58EE" xr6:coauthVersionLast="47" xr6:coauthVersionMax="47" xr10:uidLastSave="{37EEDAE8-9AAA-45C7-B0E4-17D6F91BAFBD}"/>
  <bookViews>
    <workbookView xWindow="-108" yWindow="-108" windowWidth="23256" windowHeight="12456" activeTab="2" xr2:uid="{00000000-000D-0000-FFFF-FFFF00000000}"/>
  </bookViews>
  <sheets>
    <sheet name="QUESTION" sheetId="1" r:id="rId1"/>
    <sheet name="QUESTION - 1" sheetId="2" r:id="rId2"/>
    <sheet name="QUESTION - 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3" l="1"/>
  <c r="D13" i="3"/>
  <c r="D18" i="3"/>
  <c r="I9" i="3"/>
  <c r="C18" i="3"/>
  <c r="E12" i="3"/>
  <c r="F12" i="3"/>
  <c r="C19" i="3"/>
  <c r="E13" i="3"/>
  <c r="D19" i="3" s="1"/>
  <c r="D16" i="2"/>
  <c r="D14" i="2"/>
  <c r="D15" i="2" s="1"/>
  <c r="D17" i="2" s="1"/>
  <c r="I10" i="3" l="1"/>
  <c r="I12" i="3" s="1"/>
  <c r="F13" i="3"/>
  <c r="E14" i="3"/>
  <c r="D14" i="3"/>
  <c r="F14" i="3"/>
  <c r="I8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tc={550A91DE-4D95-4ED0-B88B-F8A430371B39}</author>
  </authors>
  <commentList>
    <comment ref="P2" authorId="0" shapeId="0" xr:uid="{550A91DE-4D95-4ED0-B88B-F8A430371B3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JPG QUESTION IMAGE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tc={D9D2DEAE-1BF7-4224-BC0B-D2BAA680A7B3}</author>
    <author>tc={CF09B4F9-9FFB-4129-8A15-D4678C106D29}</author>
  </authors>
  <commentList>
    <comment ref="G6" authorId="0" shapeId="0" xr:uid="{D9D2DEAE-1BF7-4224-BC0B-D2BAA680A7B3}">
      <text>
        <t>[Threaded comment]
Your version of Excel allows you to read this threaded comment; however, any edits to it will get removed if the file is opened in a newer version of Excel. Learn more: https://go.microsoft.com/fwlink/?linkid=870924
Comment:
    Find Signification Difference</t>
      </text>
    </comment>
    <comment ref="G7" authorId="1" shapeId="0" xr:uid="{CF09B4F9-9FFB-4129-8A15-D4678C106D29}">
      <text>
        <t>[Threaded comment]
Your version of Excel allows you to read this threaded comment; however, any edits to it will get removed if the file is opened in a newer version of Excel. Learn more: https://go.microsoft.com/fwlink/?linkid=870924
Comment:
    Hypothesis rejected because table value is smaller than table value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tc={8B3B86CE-1558-489B-A2D7-11CF55341FC4}</author>
    <author>tc={C99ACFD6-9430-4FC1-921F-D3DC436C80BF}</author>
  </authors>
  <commentList>
    <comment ref="K5" authorId="0" shapeId="0" xr:uid="{8B3B86CE-1558-489B-A2D7-11CF55341FC4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 of Significance Using CHI Square formulas.</t>
      </text>
    </comment>
    <comment ref="K6" authorId="1" shapeId="0" xr:uid="{C99ACFD6-9430-4FC1-921F-D3DC436C80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Null Hypothesis Accepted Because Table value is Greater. </t>
      </text>
    </comment>
  </commentList>
</comments>
</file>

<file path=xl/sharedStrings.xml><?xml version="1.0" encoding="utf-8"?>
<sst xmlns="http://schemas.openxmlformats.org/spreadsheetml/2006/main" count="42" uniqueCount="35">
  <si>
    <t>Mean</t>
  </si>
  <si>
    <t>Standard Deviation</t>
  </si>
  <si>
    <t>Size</t>
  </si>
  <si>
    <t>Girls</t>
  </si>
  <si>
    <t>Boys</t>
  </si>
  <si>
    <t>STANDARD ERROR</t>
  </si>
  <si>
    <t>P-VALUE</t>
  </si>
  <si>
    <t>1.96 or 1.64</t>
  </si>
  <si>
    <t xml:space="preserve"> SIGNIFICANCE DIFFRENCE</t>
  </si>
  <si>
    <t xml:space="preserve">Question 1. There is an assumption that there is no significant difference between boys and girls with respect to intelligence. </t>
  </si>
  <si>
    <t>Tests are conducted on two groups and the following are the observations</t>
  </si>
  <si>
    <t>CATEGORY</t>
  </si>
  <si>
    <t>Dagonsed as caner</t>
  </si>
  <si>
    <t>Wiithout cancer</t>
  </si>
  <si>
    <t>Total</t>
  </si>
  <si>
    <t>Smokers</t>
  </si>
  <si>
    <t>Non-Smokers</t>
  </si>
  <si>
    <t>Diagnosed as Cancer</t>
  </si>
  <si>
    <t>Without Cancer</t>
  </si>
  <si>
    <t xml:space="preserve">Smokers </t>
  </si>
  <si>
    <t>Non-smokers</t>
  </si>
  <si>
    <t>TEST OF SIGNIFICANCE</t>
  </si>
  <si>
    <t>Oi -Ei</t>
  </si>
  <si>
    <t>(Oi -Ei)^2</t>
  </si>
  <si>
    <t xml:space="preserve">Question 2. Analyze the below data and tell whether you can conclude that smoking causes 
cancer or not? </t>
  </si>
  <si>
    <t>OI</t>
  </si>
  <si>
    <t>EI</t>
  </si>
  <si>
    <t>CHI SQUARE CALC</t>
  </si>
  <si>
    <t xml:space="preserve">CHI SQUARE CALC </t>
  </si>
  <si>
    <t>FORMULA</t>
  </si>
  <si>
    <r>
      <rPr>
        <b/>
        <sz val="14"/>
        <color theme="1"/>
        <rFont val="Calibri"/>
        <family val="2"/>
        <scheme val="minor"/>
      </rPr>
      <t>X</t>
    </r>
    <r>
      <rPr>
        <sz val="14"/>
        <color theme="1"/>
        <rFont val="Calibri"/>
        <family val="2"/>
        <scheme val="minor"/>
      </rPr>
      <t>=</t>
    </r>
    <r>
      <rPr>
        <b/>
        <sz val="14"/>
        <color theme="1"/>
        <rFont val="Calibri"/>
        <family val="2"/>
        <scheme val="minor"/>
      </rPr>
      <t>∑</t>
    </r>
    <r>
      <rPr>
        <sz val="14"/>
        <color theme="1"/>
        <rFont val="Calibri"/>
        <family val="2"/>
        <scheme val="minor"/>
      </rPr>
      <t>(</t>
    </r>
    <r>
      <rPr>
        <b/>
        <sz val="14"/>
        <color theme="1"/>
        <rFont val="Calibri"/>
        <family val="2"/>
        <scheme val="minor"/>
      </rPr>
      <t>OI-EI</t>
    </r>
    <r>
      <rPr>
        <sz val="14"/>
        <color theme="1"/>
        <rFont val="Calibri"/>
        <family val="2"/>
        <scheme val="minor"/>
      </rPr>
      <t>)</t>
    </r>
    <r>
      <rPr>
        <b/>
        <sz val="14"/>
        <color theme="1"/>
        <rFont val="Calibri"/>
        <family val="2"/>
        <scheme val="minor"/>
      </rPr>
      <t>^2/EI</t>
    </r>
  </si>
  <si>
    <t xml:space="preserve">T - Test </t>
  </si>
  <si>
    <t>DF</t>
  </si>
  <si>
    <t>Value From Table</t>
  </si>
  <si>
    <t>(CALC) =OI-EI+(OI-EI)^2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</si>
</sst>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Aptos Display"/>
      <family val="2"/>
    </font>
    <font>
      <b/>
      <sz val="22"/>
      <color theme="1"/>
      <name val="Aptos Display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/>
    <xf numFmtId="0" fontId="0" fillId="3" borderId="2" xfId="0" applyFill="1" applyBorder="1" applyAlignment="1">
      <alignment horizontal="center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6" fillId="2" borderId="2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0" fillId="3" borderId="2" xfId="0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0</xdr:rowOff>
    </xdr:from>
    <xdr:to>
      <xdr:col>13</xdr:col>
      <xdr:colOff>495300</xdr:colOff>
      <xdr:row>49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0C1D55-A0A6-473A-BBC2-C77149BFE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47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5720" y="0"/>
          <a:ext cx="8374380" cy="909828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hruti Gajjar" id="{6CF2B38F-25E6-42C5-9C96-97D8676F2F1F}" userId="4eec18b25c347ea2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" dT="2024-08-25T14:00:23.78" personId="{6CF2B38F-25E6-42C5-9C96-97D8676F2F1F}" id="{550A91DE-4D95-4ED0-B88B-F8A430371B39}">
    <text xml:space="preserve">JPG QUESTION IMAGE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6" dT="2024-08-25T06:32:11.80" personId="{6CF2B38F-25E6-42C5-9C96-97D8676F2F1F}" id="{D9D2DEAE-1BF7-4224-BC0B-D2BAA680A7B3}">
    <text>Find Signification Difference</text>
  </threadedComment>
  <threadedComment ref="G7" dT="2024-08-25T11:32:32.10" personId="{6CF2B38F-25E6-42C5-9C96-97D8676F2F1F}" id="{CF09B4F9-9FFB-4129-8A15-D4678C106D29}">
    <text>Hypothesis rejected because table value is smaller than table value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K5" dT="2024-08-25T14:01:47.22" personId="{6CF2B38F-25E6-42C5-9C96-97D8676F2F1F}" id="{8B3B86CE-1558-489B-A2D7-11CF55341FC4}">
    <text>Test of Significance Using CHI Square formulas.</text>
  </threadedComment>
  <threadedComment ref="K6" dT="2024-08-25T14:02:58.65" personId="{6CF2B38F-25E6-42C5-9C96-97D8676F2F1F}" id="{C99ACFD6-9430-4FC1-921F-D3DC436C80BF}">
    <text xml:space="preserve">Null Hypothesis Accepted Because Table value is Greater.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P2"/>
  <sheetViews>
    <sheetView workbookViewId="0">
      <selection activeCell="Q12" sqref="Q12"/>
    </sheetView>
  </sheetViews>
  <sheetFormatPr defaultRowHeight="14.4" x14ac:dyDescent="0.3"/>
  <sheetData>
    <row r="2" spans="16:16" x14ac:dyDescent="0.3"/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8CE84-61E7-45B9-9A9E-5FA6D5173493}">
  <dimension ref="B2:I18"/>
  <sheetViews>
    <sheetView topLeftCell="A6" workbookViewId="0">
      <selection activeCell="C19" sqref="C19"/>
    </sheetView>
  </sheetViews>
  <sheetFormatPr defaultRowHeight="14.4" x14ac:dyDescent="0.3"/>
  <cols>
    <col min="2" max="2" width="8.44140625" bestFit="1" customWidth="1"/>
    <col min="3" max="3" width="25.44140625" bestFit="1" customWidth="1"/>
    <col min="4" max="4" width="27.33203125" customWidth="1"/>
    <col min="8" max="8" width="8.88671875" customWidth="1"/>
    <col min="9" max="9" width="16.5546875" customWidth="1"/>
  </cols>
  <sheetData>
    <row r="2" spans="2:9" ht="23.4" x14ac:dyDescent="0.45">
      <c r="B2" s="8" t="s">
        <v>9</v>
      </c>
      <c r="C2" s="8"/>
      <c r="D2" s="8"/>
      <c r="E2" s="8"/>
      <c r="F2" s="8"/>
      <c r="G2" s="8"/>
      <c r="H2" s="8"/>
      <c r="I2" s="8"/>
    </row>
    <row r="3" spans="2:9" ht="23.4" x14ac:dyDescent="0.45">
      <c r="B3" s="8" t="s">
        <v>10</v>
      </c>
      <c r="C3" s="8"/>
      <c r="D3" s="8"/>
      <c r="E3" s="8"/>
      <c r="F3" s="8"/>
      <c r="G3" s="8"/>
      <c r="H3" s="8"/>
      <c r="I3" s="8"/>
    </row>
    <row r="5" spans="2:9" ht="15" thickBot="1" x14ac:dyDescent="0.35"/>
    <row r="6" spans="2:9" x14ac:dyDescent="0.3">
      <c r="G6" s="37"/>
    </row>
    <row r="7" spans="2:9" ht="15" thickBot="1" x14ac:dyDescent="0.35">
      <c r="B7" s="3"/>
      <c r="C7" s="6" t="s">
        <v>0</v>
      </c>
      <c r="D7" s="6" t="s">
        <v>1</v>
      </c>
      <c r="E7" s="7" t="s">
        <v>2</v>
      </c>
      <c r="G7" s="38"/>
    </row>
    <row r="8" spans="2:9" x14ac:dyDescent="0.3">
      <c r="B8" s="5" t="s">
        <v>3</v>
      </c>
      <c r="C8" s="4">
        <v>89</v>
      </c>
      <c r="D8" s="4">
        <v>4</v>
      </c>
      <c r="E8" s="4">
        <v>50</v>
      </c>
    </row>
    <row r="9" spans="2:9" x14ac:dyDescent="0.3">
      <c r="B9" s="5" t="s">
        <v>4</v>
      </c>
      <c r="C9" s="4">
        <v>82</v>
      </c>
      <c r="D9" s="4">
        <v>9</v>
      </c>
      <c r="E9" s="4">
        <v>120</v>
      </c>
    </row>
    <row r="11" spans="2:9" ht="21.6" customHeight="1" thickBot="1" x14ac:dyDescent="0.35"/>
    <row r="12" spans="2:9" ht="21" customHeight="1" x14ac:dyDescent="0.3">
      <c r="B12" s="31" t="s">
        <v>8</v>
      </c>
      <c r="C12" s="32"/>
      <c r="D12" s="33"/>
      <c r="E12" s="1"/>
    </row>
    <row r="13" spans="2:9" ht="12.6" customHeight="1" thickBot="1" x14ac:dyDescent="0.35">
      <c r="B13" s="34"/>
      <c r="C13" s="35"/>
      <c r="D13" s="36"/>
      <c r="E13" s="1"/>
    </row>
    <row r="14" spans="2:9" x14ac:dyDescent="0.3">
      <c r="B14" s="29" t="s">
        <v>5</v>
      </c>
      <c r="C14" s="29"/>
      <c r="D14" s="30">
        <f>SQRT((D8^2/E8) + (D9^2/E9))</f>
        <v>0.99749686716300023</v>
      </c>
    </row>
    <row r="15" spans="2:9" x14ac:dyDescent="0.3">
      <c r="B15" s="15" t="s">
        <v>31</v>
      </c>
      <c r="C15" s="15"/>
      <c r="D15" s="2">
        <f>(C8-C9) / D14</f>
        <v>7.0175658996391963</v>
      </c>
    </row>
    <row r="16" spans="2:9" x14ac:dyDescent="0.3">
      <c r="B16" s="15" t="s">
        <v>32</v>
      </c>
      <c r="C16" s="15"/>
      <c r="D16" s="2">
        <f>(((D8^2/E8) + (D9^2/E9))^2) / (((D8^2/E8)^2 / (E8 - 1)) + ((D9^2/E9)^2 / (E9- 1)))</f>
        <v>167.27414848357313</v>
      </c>
    </row>
    <row r="17" spans="2:4" x14ac:dyDescent="0.3">
      <c r="B17" s="15" t="s">
        <v>6</v>
      </c>
      <c r="C17" s="15"/>
      <c r="D17" s="2">
        <f>_xlfn.T.DIST.2T(ABS(D15), D16)</f>
        <v>5.3891590485382579E-11</v>
      </c>
    </row>
    <row r="18" spans="2:4" x14ac:dyDescent="0.3">
      <c r="B18" s="15" t="s">
        <v>33</v>
      </c>
      <c r="C18" s="15"/>
      <c r="D18" s="2" t="s">
        <v>7</v>
      </c>
    </row>
  </sheetData>
  <mergeCells count="6">
    <mergeCell ref="B18:C18"/>
    <mergeCell ref="B12:D13"/>
    <mergeCell ref="B14:C14"/>
    <mergeCell ref="B15:C15"/>
    <mergeCell ref="B16:C16"/>
    <mergeCell ref="B17:C17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CF3CC-808A-45F9-AF02-1FD7BC60EC27}">
  <dimension ref="B2:K21"/>
  <sheetViews>
    <sheetView tabSelected="1" workbookViewId="0">
      <selection activeCell="G21" sqref="G21"/>
    </sheetView>
  </sheetViews>
  <sheetFormatPr defaultRowHeight="14.4" x14ac:dyDescent="0.3"/>
  <cols>
    <col min="3" max="3" width="17.88671875" customWidth="1"/>
    <col min="4" max="4" width="23" bestFit="1" customWidth="1"/>
    <col min="5" max="5" width="18.21875" bestFit="1" customWidth="1"/>
    <col min="6" max="6" width="6.33203125" bestFit="1" customWidth="1"/>
    <col min="8" max="8" width="32.6640625" customWidth="1"/>
    <col min="9" max="9" width="16.109375" customWidth="1"/>
  </cols>
  <sheetData>
    <row r="2" spans="2:11" ht="14.4" customHeight="1" x14ac:dyDescent="0.3">
      <c r="B2" s="22" t="s">
        <v>24</v>
      </c>
      <c r="C2" s="22"/>
      <c r="D2" s="22"/>
      <c r="E2" s="22"/>
      <c r="F2" s="22"/>
      <c r="G2" s="22"/>
      <c r="H2" s="22"/>
      <c r="I2" s="22"/>
    </row>
    <row r="3" spans="2:11" ht="28.8" customHeight="1" x14ac:dyDescent="0.3">
      <c r="B3" s="22"/>
      <c r="C3" s="22"/>
      <c r="D3" s="22"/>
      <c r="E3" s="22"/>
      <c r="F3" s="22"/>
      <c r="G3" s="22"/>
      <c r="H3" s="22"/>
      <c r="I3" s="22"/>
    </row>
    <row r="4" spans="2:11" ht="15" thickBot="1" x14ac:dyDescent="0.35"/>
    <row r="5" spans="2:11" x14ac:dyDescent="0.3">
      <c r="K5" s="37"/>
    </row>
    <row r="6" spans="2:11" ht="18.600000000000001" thickBot="1" x14ac:dyDescent="0.35">
      <c r="C6" s="9" t="s">
        <v>11</v>
      </c>
      <c r="D6" s="9" t="s">
        <v>12</v>
      </c>
      <c r="E6" s="9" t="s">
        <v>13</v>
      </c>
      <c r="F6" s="9" t="s">
        <v>14</v>
      </c>
      <c r="H6" s="25" t="s">
        <v>21</v>
      </c>
      <c r="I6" s="26"/>
      <c r="K6" s="38"/>
    </row>
    <row r="7" spans="2:11" x14ac:dyDescent="0.3">
      <c r="B7" s="23" t="s">
        <v>25</v>
      </c>
      <c r="C7" s="10" t="s">
        <v>15</v>
      </c>
      <c r="D7" s="2">
        <v>220</v>
      </c>
      <c r="E7" s="2">
        <v>230</v>
      </c>
      <c r="F7" s="2">
        <v>550</v>
      </c>
      <c r="H7" s="27"/>
      <c r="I7" s="28"/>
    </row>
    <row r="8" spans="2:11" ht="15" thickBot="1" x14ac:dyDescent="0.35">
      <c r="B8" s="24"/>
      <c r="C8" s="10" t="s">
        <v>16</v>
      </c>
      <c r="D8" s="2">
        <v>350</v>
      </c>
      <c r="E8" s="2">
        <v>640</v>
      </c>
      <c r="F8" s="2">
        <v>990</v>
      </c>
      <c r="H8" s="11" t="s">
        <v>22</v>
      </c>
      <c r="I8" s="11">
        <f>F9-F14</f>
        <v>50</v>
      </c>
    </row>
    <row r="9" spans="2:11" x14ac:dyDescent="0.3">
      <c r="C9" s="2" t="s">
        <v>14</v>
      </c>
      <c r="D9" s="2">
        <v>680</v>
      </c>
      <c r="E9" s="2">
        <v>910</v>
      </c>
      <c r="F9" s="2">
        <v>1590</v>
      </c>
      <c r="H9" s="11" t="s">
        <v>23</v>
      </c>
      <c r="I9" s="11">
        <f>50^2</f>
        <v>2500</v>
      </c>
    </row>
    <row r="10" spans="2:11" x14ac:dyDescent="0.3">
      <c r="H10" s="11" t="s">
        <v>34</v>
      </c>
      <c r="I10" s="11">
        <f>SUM(C18:D19)</f>
        <v>46.049509314215207</v>
      </c>
    </row>
    <row r="11" spans="2:11" ht="18.600000000000001" thickBot="1" x14ac:dyDescent="0.35">
      <c r="C11" s="9" t="s">
        <v>11</v>
      </c>
      <c r="D11" s="9" t="s">
        <v>17</v>
      </c>
      <c r="E11" s="9" t="s">
        <v>18</v>
      </c>
      <c r="F11" s="9" t="s">
        <v>14</v>
      </c>
      <c r="H11" s="11" t="s">
        <v>32</v>
      </c>
      <c r="I11" s="11">
        <v>1</v>
      </c>
    </row>
    <row r="12" spans="2:11" x14ac:dyDescent="0.3">
      <c r="B12" s="23" t="s">
        <v>26</v>
      </c>
      <c r="C12" s="10" t="s">
        <v>19</v>
      </c>
      <c r="D12" s="2">
        <f>(F7/F9)*D9</f>
        <v>235.22012578616352</v>
      </c>
      <c r="E12" s="2">
        <f>F7*E9/F9</f>
        <v>314.77987421383648</v>
      </c>
      <c r="F12" s="2">
        <f>SUM(D12,E12)</f>
        <v>550</v>
      </c>
      <c r="H12" s="11" t="s">
        <v>6</v>
      </c>
      <c r="I12" s="11">
        <f>_xlfn.CHISQ.DIST.RT(I10,I11)</f>
        <v>1.1530202159547562E-11</v>
      </c>
    </row>
    <row r="13" spans="2:11" ht="15" thickBot="1" x14ac:dyDescent="0.35">
      <c r="B13" s="24"/>
      <c r="C13" s="10" t="s">
        <v>20</v>
      </c>
      <c r="D13" s="2">
        <f>F8*D9/F9</f>
        <v>423.39622641509436</v>
      </c>
      <c r="E13" s="2">
        <f>F8*E9/F9</f>
        <v>566.60377358490564</v>
      </c>
      <c r="F13" s="2">
        <f>SUM(D13,E13)</f>
        <v>990</v>
      </c>
      <c r="H13" s="11" t="s">
        <v>33</v>
      </c>
      <c r="I13" s="11">
        <v>3.84</v>
      </c>
    </row>
    <row r="14" spans="2:11" x14ac:dyDescent="0.3">
      <c r="C14" s="2" t="s">
        <v>14</v>
      </c>
      <c r="D14" s="2">
        <f>SUM(D12,D13)</f>
        <v>658.61635220125788</v>
      </c>
      <c r="E14" s="2">
        <f>SUM(E12,E13)</f>
        <v>881.38364779874212</v>
      </c>
      <c r="F14" s="2">
        <f>SUM(F12,F13)</f>
        <v>1540</v>
      </c>
    </row>
    <row r="16" spans="2:11" ht="14.4" customHeight="1" x14ac:dyDescent="0.3">
      <c r="C16" s="18" t="s">
        <v>27</v>
      </c>
      <c r="D16" s="19"/>
    </row>
    <row r="17" spans="3:4" ht="14.4" customHeight="1" x14ac:dyDescent="0.3">
      <c r="C17" s="20"/>
      <c r="D17" s="21"/>
    </row>
    <row r="18" spans="3:4" x14ac:dyDescent="0.3">
      <c r="C18" s="2">
        <f>(D7-D12)^2/D12</f>
        <v>0.98483166851646309</v>
      </c>
      <c r="D18" s="2">
        <f>(E7-E12)^2/E12</f>
        <v>22.833820267782531</v>
      </c>
    </row>
    <row r="19" spans="3:4" ht="15" thickBot="1" x14ac:dyDescent="0.35">
      <c r="C19" s="12">
        <f>(D8-D13)^2/D13</f>
        <v>12.723320889247644</v>
      </c>
      <c r="D19" s="12">
        <f>(E8-E13)^2/E13</f>
        <v>9.5075364886685705</v>
      </c>
    </row>
    <row r="20" spans="3:4" x14ac:dyDescent="0.3">
      <c r="C20" s="13" t="s">
        <v>28</v>
      </c>
      <c r="D20" s="16" t="s">
        <v>30</v>
      </c>
    </row>
    <row r="21" spans="3:4" ht="15" thickBot="1" x14ac:dyDescent="0.35">
      <c r="C21" s="14" t="s">
        <v>29</v>
      </c>
      <c r="D21" s="17"/>
    </row>
  </sheetData>
  <mergeCells count="6">
    <mergeCell ref="D20:D21"/>
    <mergeCell ref="H6:I7"/>
    <mergeCell ref="C16:D17"/>
    <mergeCell ref="B2:I3"/>
    <mergeCell ref="B7:B8"/>
    <mergeCell ref="B12:B1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</vt:lpstr>
      <vt:lpstr>QUESTION - 1</vt:lpstr>
      <vt:lpstr>QUESTION - 2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Gajjar</dc:creator>
  <cp:lastModifiedBy>Shruti Gajjar</cp:lastModifiedBy>
  <dcterms:created xsi:type="dcterms:W3CDTF">2015-06-05T18:17:20Z</dcterms:created>
  <dcterms:modified xsi:type="dcterms:W3CDTF">2024-08-25T14:06:50Z</dcterms:modified>
</cp:coreProperties>
</file>